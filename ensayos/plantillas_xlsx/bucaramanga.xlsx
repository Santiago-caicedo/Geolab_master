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i unidad\GEOLAB BUCARAMANGA\6. Gestión Técnica\CONCRETOS 2024\"/>
    </mc:Choice>
  </mc:AlternateContent>
  <xr:revisionPtr revIDLastSave="0" documentId="13_ncr:1_{6814143A-BFC4-466A-B67B-649CB6AD255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LANTILLA" sheetId="6" r:id="rId1"/>
  </sheets>
  <definedNames>
    <definedName name="_xlnm.Print_Area" localSheetId="0">PLANTILLA!$A$1:$U$45</definedName>
    <definedName name="CARGOS">#REF!</definedName>
    <definedName name="CATORCE.">PLANTILLA!$AA$20:$AB$23</definedName>
    <definedName name="COMISIONES">#REF!</definedName>
    <definedName name="OTRAS.">PLANTILLA!$AA$26:$AB$29</definedName>
    <definedName name="SIETE">#REF!</definedName>
    <definedName name="SIETE.">PLANTILLA!$AA$14:$AB$17</definedName>
    <definedName name="TRES">#REF!</definedName>
    <definedName name="TRES.">PLANTILLA!$AA$8:$AB$11</definedName>
    <definedName name="U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6" l="1"/>
  <c r="L10" i="6"/>
  <c r="N10" i="6" s="1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I25" i="6"/>
  <c r="H25" i="6"/>
  <c r="D25" i="6"/>
  <c r="I24" i="6"/>
  <c r="H24" i="6"/>
  <c r="D24" i="6"/>
  <c r="I23" i="6"/>
  <c r="H23" i="6"/>
  <c r="D23" i="6"/>
  <c r="I22" i="6"/>
  <c r="H22" i="6"/>
  <c r="D22" i="6"/>
  <c r="I21" i="6"/>
  <c r="H21" i="6"/>
  <c r="D21" i="6"/>
  <c r="I20" i="6"/>
  <c r="H20" i="6"/>
  <c r="D20" i="6"/>
  <c r="I19" i="6"/>
  <c r="H19" i="6"/>
  <c r="D19" i="6"/>
  <c r="I18" i="6"/>
  <c r="H18" i="6"/>
  <c r="D18" i="6"/>
  <c r="I17" i="6"/>
  <c r="H17" i="6"/>
  <c r="D17" i="6"/>
  <c r="I16" i="6"/>
  <c r="H16" i="6"/>
  <c r="D16" i="6"/>
  <c r="I15" i="6"/>
  <c r="H15" i="6"/>
  <c r="D15" i="6"/>
  <c r="I14" i="6"/>
  <c r="H14" i="6"/>
  <c r="D14" i="6"/>
  <c r="I13" i="6"/>
  <c r="H13" i="6"/>
  <c r="D13" i="6"/>
  <c r="I12" i="6"/>
  <c r="H12" i="6"/>
  <c r="D12" i="6"/>
  <c r="I11" i="6"/>
  <c r="H11" i="6"/>
  <c r="D11" i="6"/>
  <c r="I10" i="6"/>
  <c r="H10" i="6"/>
  <c r="D10" i="6"/>
  <c r="L11" i="6" l="1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10" i="6"/>
  <c r="O25" i="6"/>
  <c r="O24" i="6"/>
  <c r="Q24" i="6" s="1"/>
  <c r="U24" i="6" s="1"/>
  <c r="O23" i="6"/>
  <c r="O22" i="6"/>
  <c r="Q22" i="6" s="1"/>
  <c r="U22" i="6" s="1"/>
  <c r="O21" i="6"/>
  <c r="O20" i="6"/>
  <c r="Q20" i="6" s="1"/>
  <c r="U20" i="6" s="1"/>
  <c r="O19" i="6"/>
  <c r="Q19" i="6" s="1"/>
  <c r="U19" i="6" s="1"/>
  <c r="O18" i="6"/>
  <c r="Q18" i="6" s="1"/>
  <c r="U18" i="6" s="1"/>
  <c r="O17" i="6"/>
  <c r="Q17" i="6" s="1"/>
  <c r="U17" i="6" s="1"/>
  <c r="O16" i="6"/>
  <c r="Q16" i="6" s="1"/>
  <c r="U16" i="6" s="1"/>
  <c r="O15" i="6"/>
  <c r="Q15" i="6" s="1"/>
  <c r="U15" i="6" s="1"/>
  <c r="O14" i="6"/>
  <c r="Q14" i="6" s="1"/>
  <c r="U14" i="6" s="1"/>
  <c r="O13" i="6"/>
  <c r="Q13" i="6" s="1"/>
  <c r="U13" i="6" s="1"/>
  <c r="O12" i="6"/>
  <c r="Q12" i="6" s="1"/>
  <c r="U12" i="6" s="1"/>
  <c r="O11" i="6"/>
  <c r="Q11" i="6" s="1"/>
  <c r="U11" i="6" s="1"/>
  <c r="O10" i="6"/>
  <c r="Q10" i="6" s="1"/>
  <c r="Q21" i="6"/>
  <c r="U21" i="6" s="1"/>
  <c r="Q23" i="6"/>
  <c r="U23" i="6" s="1"/>
  <c r="Q25" i="6"/>
  <c r="U25" i="6" s="1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50" i="6"/>
  <c r="W51" i="6"/>
  <c r="S11" i="6"/>
  <c r="W52" i="6"/>
  <c r="W53" i="6"/>
  <c r="S13" i="6"/>
  <c r="W54" i="6"/>
  <c r="W55" i="6"/>
  <c r="W56" i="6"/>
  <c r="W57" i="6"/>
  <c r="S17" i="6" s="1"/>
  <c r="W58" i="6"/>
  <c r="S18" i="6"/>
  <c r="W59" i="6"/>
  <c r="W60" i="6"/>
  <c r="S20" i="6" s="1"/>
  <c r="W61" i="6"/>
  <c r="W62" i="6"/>
  <c r="S22" i="6" s="1"/>
  <c r="W63" i="6"/>
  <c r="W64" i="6"/>
  <c r="W65" i="6"/>
  <c r="W50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13" i="6"/>
  <c r="I26" i="6"/>
  <c r="Y14" i="6"/>
  <c r="Y15" i="6"/>
  <c r="S24" i="6"/>
  <c r="P16" i="6" l="1"/>
  <c r="S25" i="6"/>
  <c r="S14" i="6"/>
  <c r="P24" i="6"/>
  <c r="R11" i="6"/>
  <c r="P23" i="6"/>
  <c r="P17" i="6"/>
  <c r="S12" i="6"/>
  <c r="S23" i="6"/>
  <c r="P19" i="6"/>
  <c r="P14" i="6"/>
  <c r="P18" i="6"/>
  <c r="P20" i="6"/>
  <c r="S15" i="6"/>
  <c r="P25" i="6"/>
  <c r="P22" i="6"/>
  <c r="S21" i="6"/>
  <c r="R19" i="6"/>
  <c r="R18" i="6"/>
  <c r="R14" i="6"/>
  <c r="S19" i="6"/>
  <c r="S16" i="6"/>
  <c r="R25" i="6"/>
  <c r="R17" i="6"/>
  <c r="R13" i="6"/>
  <c r="R23" i="6"/>
  <c r="R15" i="6"/>
  <c r="R22" i="6"/>
  <c r="R24" i="6"/>
  <c r="R20" i="6"/>
  <c r="R16" i="6"/>
  <c r="R10" i="6"/>
  <c r="S10" i="6"/>
  <c r="P13" i="6" l="1"/>
  <c r="R12" i="6"/>
  <c r="R21" i="6"/>
  <c r="P12" i="6"/>
  <c r="P21" i="6"/>
  <c r="P15" i="6"/>
  <c r="P11" i="6"/>
  <c r="U10" i="6"/>
  <c r="P10" i="6"/>
</calcChain>
</file>

<file path=xl/sharedStrings.xml><?xml version="1.0" encoding="utf-8"?>
<sst xmlns="http://schemas.openxmlformats.org/spreadsheetml/2006/main" count="114" uniqueCount="73">
  <si>
    <t>PAGINA 1 DE 1</t>
  </si>
  <si>
    <t>FECHA DE TOMA</t>
  </si>
  <si>
    <t>CARGA MÁXIMA</t>
  </si>
  <si>
    <t>mm</t>
  </si>
  <si>
    <t>kgf</t>
  </si>
  <si>
    <t xml:space="preserve">OBSERVACIONES: </t>
  </si>
  <si>
    <t>TIPO DE FALLA</t>
  </si>
  <si>
    <t>kgf/cm²</t>
  </si>
  <si>
    <t>RELACION  L/D</t>
  </si>
  <si>
    <t>RESISTENCIA NOMINAL</t>
  </si>
  <si>
    <t>DIÁMETRO PROMEDIO</t>
  </si>
  <si>
    <t>LONGITUD PROMEDIO</t>
  </si>
  <si>
    <t>RESISTENCIA (%)</t>
  </si>
  <si>
    <t>MPa</t>
  </si>
  <si>
    <t>AÑO-MES-DIA</t>
  </si>
  <si>
    <t>RESISTENCIA A LA COMPRESIÓN</t>
  </si>
  <si>
    <t>LOCALIZACIÓN</t>
  </si>
  <si>
    <t>kN</t>
  </si>
  <si>
    <t>AREA SECCIÓN TRANSV.</t>
  </si>
  <si>
    <t>DEFECTOS DEL ESPÉCIMEN</t>
  </si>
  <si>
    <r>
      <t>DENSIDAD (kg/m</t>
    </r>
    <r>
      <rPr>
        <b/>
        <vertAlign val="superscript"/>
        <sz val="7"/>
        <rFont val="Arial"/>
        <family val="2"/>
      </rPr>
      <t>3</t>
    </r>
    <r>
      <rPr>
        <b/>
        <sz val="7"/>
        <rFont val="Arial"/>
        <family val="2"/>
      </rPr>
      <t>)</t>
    </r>
  </si>
  <si>
    <t>MASA DEL CILINDRO (kg)</t>
  </si>
  <si>
    <t>MUESTRA Nº</t>
  </si>
  <si>
    <t>FECHA DE FALLA</t>
  </si>
  <si>
    <t>EDAD DE FALLA</t>
  </si>
  <si>
    <t>PROHIBIDA LA REPRODUCCIÓN TOTAL O PARCIAL DEL PRESENTE INFORME SIN AUTORIZACIÓN DE LABORATORIOS GEOLAB CSP SAS</t>
  </si>
  <si>
    <t>NORMA NTC 673</t>
  </si>
  <si>
    <t>NORMA INV E 410:2013</t>
  </si>
  <si>
    <t>RECIBIDO</t>
  </si>
  <si>
    <t>FIRMA:</t>
  </si>
  <si>
    <t>ING. JAVIER BUITRAGO</t>
  </si>
  <si>
    <t>Fecha:</t>
  </si>
  <si>
    <t>DIAMETRO mm</t>
  </si>
  <si>
    <t>LONGITUD mm</t>
  </si>
  <si>
    <t>DIA</t>
  </si>
  <si>
    <r>
      <t>cm</t>
    </r>
    <r>
      <rPr>
        <b/>
        <vertAlign val="superscript"/>
        <sz val="8"/>
        <rFont val="Arial"/>
        <family val="2"/>
      </rPr>
      <t>2</t>
    </r>
  </si>
  <si>
    <t>NORMAL</t>
  </si>
  <si>
    <t>LEVEMENTE BAJO</t>
  </si>
  <si>
    <t>Psi</t>
  </si>
  <si>
    <t>PESO</t>
  </si>
  <si>
    <t>CARGA Kn</t>
  </si>
  <si>
    <t>PROM DI</t>
  </si>
  <si>
    <t>PRO L</t>
  </si>
  <si>
    <t xml:space="preserve">N° Informe: </t>
  </si>
  <si>
    <t>C.O:</t>
  </si>
  <si>
    <t>Código: F-AI-1-01</t>
  </si>
  <si>
    <t>muestra</t>
  </si>
  <si>
    <t>BAJO</t>
  </si>
  <si>
    <t>EXTREMADAMENTE BAJO</t>
  </si>
  <si>
    <t>TRES</t>
  </si>
  <si>
    <t>SIETE</t>
  </si>
  <si>
    <t>CATORCE</t>
  </si>
  <si>
    <t>28-56</t>
  </si>
  <si>
    <t>SI(G9=1;"N/A";SI(G9=3;BUSCARV(Q9;TRES.;2;1);SI(G9=7;BUSCARV(Q9;SIETE.;2;1);SI(G9=14;BUSCARV(Q9;CATORCE.;2;1);SI(O(G9=28;G9=56);BUSCARV(Q9;OTRAS.;2;1);0)))))</t>
  </si>
  <si>
    <t>1kgf=</t>
  </si>
  <si>
    <t>N</t>
  </si>
  <si>
    <r>
      <t>1kgf/cm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=</t>
    </r>
  </si>
  <si>
    <t>LABORATORIO DE INGENIERIA CIVIL - Carrera 23 N° 63c - 58 Tel 6429289</t>
  </si>
  <si>
    <t>(MPa)</t>
  </si>
  <si>
    <t>Autorizo:</t>
  </si>
  <si>
    <t>GERENTE TECNICO</t>
  </si>
  <si>
    <t>C.C:</t>
  </si>
  <si>
    <t>N/A</t>
  </si>
  <si>
    <t>LABORATORIO</t>
  </si>
  <si>
    <t>FIN DEL INFORME</t>
  </si>
  <si>
    <t>CONDICIONES DEL ENSAYO:</t>
  </si>
  <si>
    <t>EL LABORATORIO NO SE HACE RESPONSABLE POR LA INFORMACION SUMINISTRADA O CONFIRMADA POR EL CLIENTE QUE PUEDA AFECTAR LA VALIDEZ DE LOS RESULTADOS</t>
  </si>
  <si>
    <r>
      <t xml:space="preserve">INFORME DE ENSAYOS
RESISTENCIA  A LA  COMPRESIÓN DE ESPECIMENES CILINDRICOS DE CONCRETO                             (NTC 673 </t>
    </r>
    <r>
      <rPr>
        <b/>
        <sz val="9"/>
        <rFont val="Arial"/>
        <family val="2"/>
      </rPr>
      <t xml:space="preserve">2021-11-17  </t>
    </r>
    <r>
      <rPr>
        <b/>
        <sz val="16"/>
        <rFont val="Arial"/>
        <family val="2"/>
      </rPr>
      <t>)</t>
    </r>
  </si>
  <si>
    <t>Versión: 01</t>
  </si>
  <si>
    <t>INCERTIDUMBRE EXPANDIDA U : 0,0147</t>
  </si>
  <si>
    <t>Fecha:  2022-07-01</t>
  </si>
  <si>
    <t>GEOLAB LABORATORIO DE INGENIERIA CIVIL SAS  via antigua floridablanca #195-12 floridablanca Santander</t>
  </si>
  <si>
    <t>LOS RESULTADOS PRESENTADOS EN ESTE INFORME CORRESPONDEN ÚNICAMENTE A LAS MUESTRAS RECIBIDAS Y ENSAYADAS. NO SE REALIZA MUESTREO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</si>
</sst>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0"/>
    <numFmt numFmtId="166" formatCode="0#"/>
    <numFmt numFmtId="167" formatCode="yyyy\-mm\-dd;@"/>
    <numFmt numFmtId="168" formatCode="[$-F400]h:mm:ss\ AM/PM"/>
  </numFmts>
  <fonts count="26" x14ac:knownFonts="1">
    <font>
      <sz val="10"/>
      <name val="Arial"/>
    </font>
    <font>
      <sz val="10"/>
      <name val="Arial"/>
      <family val="2"/>
    </font>
    <font>
      <sz val="12"/>
      <name val="Courier"/>
      <family val="3"/>
    </font>
    <font>
      <sz val="2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i/>
      <sz val="6"/>
      <name val="Arial"/>
      <family val="2"/>
    </font>
    <font>
      <b/>
      <sz val="9"/>
      <name val="Arial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b/>
      <sz val="7"/>
      <name val="Arial"/>
      <family val="2"/>
    </font>
    <font>
      <b/>
      <vertAlign val="superscript"/>
      <sz val="7"/>
      <name val="Arial"/>
      <family val="2"/>
    </font>
    <font>
      <sz val="8"/>
      <color indexed="8"/>
      <name val="Arial"/>
      <family val="2"/>
    </font>
    <font>
      <b/>
      <sz val="6"/>
      <name val="Arial"/>
      <family val="2"/>
    </font>
    <font>
      <b/>
      <sz val="16"/>
      <name val="Arial"/>
      <family val="2"/>
    </font>
    <font>
      <b/>
      <sz val="8.5"/>
      <color indexed="8"/>
      <name val="MS Sans Serif"/>
      <family val="2"/>
    </font>
    <font>
      <b/>
      <sz val="12"/>
      <name val="Arial"/>
      <family val="2"/>
    </font>
    <font>
      <b/>
      <vertAlign val="superscript"/>
      <sz val="8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8"/>
      <name val="Arial"/>
      <family val="2"/>
    </font>
    <font>
      <sz val="10"/>
      <color theme="1"/>
      <name val="Arial"/>
      <family val="2"/>
    </font>
    <font>
      <sz val="7"/>
      <name val="Arial"/>
      <family val="2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175">
    <xf numFmtId="0" fontId="0" fillId="0" borderId="0" xfId="0"/>
    <xf numFmtId="0" fontId="1" fillId="0" borderId="0" xfId="2"/>
    <xf numFmtId="0" fontId="1" fillId="0" borderId="11" xfId="2" applyBorder="1"/>
    <xf numFmtId="0" fontId="1" fillId="0" borderId="4" xfId="2" applyBorder="1"/>
    <xf numFmtId="0" fontId="1" fillId="0" borderId="3" xfId="2" applyBorder="1"/>
    <xf numFmtId="0" fontId="1" fillId="0" borderId="6" xfId="2" applyBorder="1"/>
    <xf numFmtId="0" fontId="1" fillId="0" borderId="2" xfId="2" applyBorder="1"/>
    <xf numFmtId="0" fontId="1" fillId="0" borderId="1" xfId="2" applyBorder="1"/>
    <xf numFmtId="0" fontId="4" fillId="0" borderId="0" xfId="2" applyFont="1" applyAlignment="1">
      <alignment horizontal="centerContinuous"/>
    </xf>
    <xf numFmtId="0" fontId="5" fillId="0" borderId="0" xfId="2" applyFont="1" applyAlignment="1">
      <alignment horizontal="centerContinuous"/>
    </xf>
    <xf numFmtId="0" fontId="5" fillId="0" borderId="0" xfId="2" applyFont="1"/>
    <xf numFmtId="0" fontId="4" fillId="0" borderId="0" xfId="2" applyFont="1"/>
    <xf numFmtId="0" fontId="5" fillId="0" borderId="2" xfId="2" applyFont="1" applyBorder="1"/>
    <xf numFmtId="0" fontId="5" fillId="0" borderId="3" xfId="2" applyFont="1" applyBorder="1" applyProtection="1">
      <protection locked="0"/>
    </xf>
    <xf numFmtId="0" fontId="9" fillId="0" borderId="3" xfId="2" applyFont="1" applyBorder="1" applyProtection="1">
      <protection locked="0"/>
    </xf>
    <xf numFmtId="0" fontId="1" fillId="0" borderId="0" xfId="2" applyProtection="1">
      <protection locked="0"/>
    </xf>
    <xf numFmtId="164" fontId="4" fillId="0" borderId="2" xfId="2" applyNumberFormat="1" applyFont="1" applyBorder="1" applyAlignment="1">
      <alignment horizontal="center"/>
    </xf>
    <xf numFmtId="164" fontId="4" fillId="0" borderId="0" xfId="2" applyNumberFormat="1" applyFont="1" applyAlignment="1">
      <alignment horizont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center"/>
    </xf>
    <xf numFmtId="1" fontId="4" fillId="0" borderId="0" xfId="2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/>
    </xf>
    <xf numFmtId="164" fontId="9" fillId="0" borderId="0" xfId="2" applyNumberFormat="1" applyFont="1" applyAlignment="1">
      <alignment horizontal="left"/>
    </xf>
    <xf numFmtId="1" fontId="4" fillId="0" borderId="0" xfId="2" applyNumberFormat="1" applyFont="1" applyAlignment="1">
      <alignment vertical="center"/>
    </xf>
    <xf numFmtId="0" fontId="11" fillId="0" borderId="0" xfId="2" applyFont="1"/>
    <xf numFmtId="0" fontId="1" fillId="0" borderId="0" xfId="2" applyAlignment="1">
      <alignment horizontal="center" vertical="center"/>
    </xf>
    <xf numFmtId="49" fontId="4" fillId="0" borderId="7" xfId="2" applyNumberFormat="1" applyFont="1" applyBorder="1" applyAlignment="1" applyProtection="1">
      <alignment horizontal="center" vertical="center"/>
      <protection locked="0"/>
    </xf>
    <xf numFmtId="167" fontId="4" fillId="0" borderId="12" xfId="2" applyNumberFormat="1" applyFont="1" applyBorder="1" applyAlignment="1" applyProtection="1">
      <alignment horizontal="center" vertical="center"/>
      <protection locked="0"/>
    </xf>
    <xf numFmtId="0" fontId="14" fillId="0" borderId="0" xfId="2" applyFont="1" applyAlignment="1">
      <alignment horizontal="center" vertical="center"/>
    </xf>
    <xf numFmtId="0" fontId="12" fillId="0" borderId="0" xfId="2" applyFont="1" applyAlignment="1">
      <alignment wrapText="1"/>
    </xf>
    <xf numFmtId="0" fontId="12" fillId="0" borderId="8" xfId="2" applyFont="1" applyBorder="1" applyAlignment="1">
      <alignment wrapText="1"/>
    </xf>
    <xf numFmtId="0" fontId="4" fillId="0" borderId="11" xfId="2" applyFont="1" applyBorder="1"/>
    <xf numFmtId="0" fontId="1" fillId="0" borderId="9" xfId="2" applyBorder="1"/>
    <xf numFmtId="0" fontId="7" fillId="0" borderId="0" xfId="2" applyFont="1"/>
    <xf numFmtId="1" fontId="6" fillId="0" borderId="0" xfId="2" applyNumberFormat="1" applyFont="1" applyAlignment="1">
      <alignment vertical="center"/>
    </xf>
    <xf numFmtId="1" fontId="6" fillId="0" borderId="2" xfId="2" applyNumberFormat="1" applyFont="1" applyBorder="1" applyAlignment="1">
      <alignment vertical="center"/>
    </xf>
    <xf numFmtId="164" fontId="4" fillId="0" borderId="3" xfId="2" applyNumberFormat="1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0" fontId="5" fillId="0" borderId="1" xfId="2" applyFont="1" applyBorder="1"/>
    <xf numFmtId="0" fontId="5" fillId="0" borderId="0" xfId="2" applyFont="1" applyProtection="1">
      <protection locked="0"/>
    </xf>
    <xf numFmtId="0" fontId="1" fillId="0" borderId="3" xfId="2" applyBorder="1" applyProtection="1">
      <protection locked="0"/>
    </xf>
    <xf numFmtId="0" fontId="10" fillId="0" borderId="11" xfId="2" applyFont="1" applyBorder="1"/>
    <xf numFmtId="165" fontId="10" fillId="0" borderId="11" xfId="2" applyNumberFormat="1" applyFont="1" applyBorder="1" applyAlignment="1">
      <alignment horizontal="center"/>
    </xf>
    <xf numFmtId="49" fontId="10" fillId="0" borderId="11" xfId="2" applyNumberFormat="1" applyFont="1" applyBorder="1" applyAlignment="1">
      <alignment horizontal="center"/>
    </xf>
    <xf numFmtId="1" fontId="10" fillId="0" borderId="11" xfId="2" applyNumberFormat="1" applyFont="1" applyBorder="1" applyAlignment="1">
      <alignment horizontal="center"/>
    </xf>
    <xf numFmtId="0" fontId="10" fillId="0" borderId="11" xfId="2" applyFont="1" applyBorder="1" applyAlignment="1">
      <alignment horizontal="center" vertical="center"/>
    </xf>
    <xf numFmtId="1" fontId="10" fillId="0" borderId="11" xfId="2" applyNumberFormat="1" applyFont="1" applyBorder="1" applyAlignment="1">
      <alignment horizontal="center" vertical="center"/>
    </xf>
    <xf numFmtId="164" fontId="10" fillId="0" borderId="11" xfId="2" applyNumberFormat="1" applyFont="1" applyBorder="1" applyAlignment="1">
      <alignment horizontal="center" vertical="center"/>
    </xf>
    <xf numFmtId="164" fontId="4" fillId="0" borderId="4" xfId="2" applyNumberFormat="1" applyFont="1" applyBorder="1" applyAlignment="1">
      <alignment horizontal="center"/>
    </xf>
    <xf numFmtId="0" fontId="11" fillId="0" borderId="11" xfId="2" applyFont="1" applyBorder="1"/>
    <xf numFmtId="0" fontId="10" fillId="0" borderId="11" xfId="1" applyFont="1" applyBorder="1"/>
    <xf numFmtId="0" fontId="10" fillId="0" borderId="11" xfId="2" applyFont="1" applyBorder="1" applyAlignment="1">
      <alignment horizontal="center"/>
    </xf>
    <xf numFmtId="0" fontId="10" fillId="0" borderId="10" xfId="2" applyFont="1" applyBorder="1" applyAlignment="1">
      <alignment horizontal="center"/>
    </xf>
    <xf numFmtId="0" fontId="1" fillId="0" borderId="11" xfId="2" applyBorder="1" applyAlignment="1">
      <alignment horizontal="right"/>
    </xf>
    <xf numFmtId="0" fontId="1" fillId="0" borderId="10" xfId="2" applyBorder="1"/>
    <xf numFmtId="0" fontId="8" fillId="0" borderId="6" xfId="2" applyFont="1" applyBorder="1"/>
    <xf numFmtId="0" fontId="0" fillId="2" borderId="7" xfId="0" applyFill="1" applyBorder="1" applyProtection="1">
      <protection locked="0"/>
    </xf>
    <xf numFmtId="0" fontId="9" fillId="0" borderId="9" xfId="2" applyFont="1" applyBorder="1"/>
    <xf numFmtId="1" fontId="6" fillId="0" borderId="1" xfId="2" applyNumberFormat="1" applyFont="1" applyBorder="1" applyAlignment="1">
      <alignment vertical="center"/>
    </xf>
    <xf numFmtId="1" fontId="4" fillId="0" borderId="1" xfId="2" applyNumberFormat="1" applyFont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1" fontId="4" fillId="0" borderId="11" xfId="2" applyNumberFormat="1" applyFont="1" applyBorder="1" applyAlignment="1">
      <alignment horizontal="center" vertical="center"/>
    </xf>
    <xf numFmtId="0" fontId="4" fillId="0" borderId="3" xfId="2" applyFont="1" applyBorder="1"/>
    <xf numFmtId="0" fontId="4" fillId="0" borderId="3" xfId="2" applyFont="1" applyBorder="1" applyAlignment="1">
      <alignment horizontal="center"/>
    </xf>
    <xf numFmtId="166" fontId="4" fillId="0" borderId="3" xfId="2" applyNumberFormat="1" applyFont="1" applyBorder="1" applyAlignment="1">
      <alignment horizontal="center"/>
    </xf>
    <xf numFmtId="1" fontId="4" fillId="0" borderId="3" xfId="2" applyNumberFormat="1" applyFont="1" applyBorder="1" applyAlignment="1">
      <alignment horizontal="center" vertical="center"/>
    </xf>
    <xf numFmtId="1" fontId="4" fillId="0" borderId="3" xfId="2" applyNumberFormat="1" applyFont="1" applyBorder="1" applyAlignment="1">
      <alignment horizontal="center"/>
    </xf>
    <xf numFmtId="0" fontId="4" fillId="0" borderId="3" xfId="2" applyFont="1" applyBorder="1" applyAlignment="1">
      <alignment horizontal="center" vertical="center"/>
    </xf>
    <xf numFmtId="164" fontId="9" fillId="0" borderId="3" xfId="2" applyNumberFormat="1" applyFont="1" applyBorder="1" applyAlignment="1">
      <alignment horizontal="left"/>
    </xf>
    <xf numFmtId="0" fontId="0" fillId="0" borderId="18" xfId="0" applyBorder="1" applyAlignment="1">
      <alignment horizontal="right"/>
    </xf>
    <xf numFmtId="0" fontId="1" fillId="0" borderId="7" xfId="2" applyBorder="1"/>
    <xf numFmtId="164" fontId="1" fillId="0" borderId="7" xfId="3" applyNumberFormat="1" applyBorder="1" applyProtection="1">
      <protection locked="0"/>
    </xf>
    <xf numFmtId="0" fontId="18" fillId="0" borderId="0" xfId="2" applyFont="1" applyAlignment="1">
      <alignment horizontal="center"/>
    </xf>
    <xf numFmtId="0" fontId="1" fillId="0" borderId="0" xfId="2" applyAlignment="1">
      <alignment vertical="center"/>
    </xf>
    <xf numFmtId="167" fontId="6" fillId="0" borderId="7" xfId="2" applyNumberFormat="1" applyFont="1" applyBorder="1" applyAlignment="1">
      <alignment horizontal="left" vertical="center"/>
    </xf>
    <xf numFmtId="0" fontId="20" fillId="0" borderId="7" xfId="2" applyFont="1" applyBorder="1" applyAlignment="1" applyProtection="1">
      <alignment horizontal="center" vertical="center"/>
      <protection locked="0"/>
    </xf>
    <xf numFmtId="49" fontId="1" fillId="0" borderId="7" xfId="2" applyNumberFormat="1" applyBorder="1"/>
    <xf numFmtId="0" fontId="1" fillId="0" borderId="7" xfId="2" applyBorder="1" applyAlignment="1">
      <alignment vertical="center"/>
    </xf>
    <xf numFmtId="1" fontId="20" fillId="0" borderId="7" xfId="2" applyNumberFormat="1" applyFont="1" applyBorder="1" applyAlignment="1" applyProtection="1">
      <alignment horizontal="center" vertical="center"/>
      <protection locked="0"/>
    </xf>
    <xf numFmtId="1" fontId="4" fillId="0" borderId="7" xfId="2" applyNumberFormat="1" applyFont="1" applyBorder="1" applyAlignment="1" applyProtection="1">
      <alignment horizontal="center" vertical="center"/>
      <protection locked="0"/>
    </xf>
    <xf numFmtId="0" fontId="4" fillId="0" borderId="7" xfId="2" applyFont="1" applyBorder="1" applyAlignment="1" applyProtection="1">
      <alignment horizontal="center" vertical="center"/>
      <protection locked="0"/>
    </xf>
    <xf numFmtId="49" fontId="4" fillId="0" borderId="14" xfId="2" applyNumberFormat="1" applyFont="1" applyBorder="1" applyAlignment="1" applyProtection="1">
      <alignment horizontal="center" vertical="center"/>
      <protection locked="0"/>
    </xf>
    <xf numFmtId="1" fontId="4" fillId="0" borderId="14" xfId="2" applyNumberFormat="1" applyFont="1" applyBorder="1" applyAlignment="1" applyProtection="1">
      <alignment horizontal="center" vertical="center"/>
      <protection locked="0"/>
    </xf>
    <xf numFmtId="0" fontId="12" fillId="0" borderId="7" xfId="2" applyFont="1" applyBorder="1" applyAlignment="1">
      <alignment horizontal="center" vertical="center" wrapText="1"/>
    </xf>
    <xf numFmtId="2" fontId="20" fillId="0" borderId="7" xfId="2" applyNumberFormat="1" applyFont="1" applyBorder="1" applyAlignment="1" applyProtection="1">
      <alignment horizontal="center" vertical="center"/>
      <protection hidden="1"/>
    </xf>
    <xf numFmtId="1" fontId="20" fillId="0" borderId="7" xfId="2" applyNumberFormat="1" applyFont="1" applyBorder="1" applyAlignment="1" applyProtection="1">
      <alignment horizontal="center" vertical="center"/>
      <protection hidden="1"/>
    </xf>
    <xf numFmtId="164" fontId="20" fillId="0" borderId="7" xfId="2" applyNumberFormat="1" applyFont="1" applyBorder="1" applyAlignment="1" applyProtection="1">
      <alignment horizontal="center" vertical="center"/>
      <protection hidden="1"/>
    </xf>
    <xf numFmtId="164" fontId="21" fillId="0" borderId="7" xfId="2" applyNumberFormat="1" applyFont="1" applyBorder="1" applyAlignment="1" applyProtection="1">
      <alignment horizontal="center" vertical="center"/>
      <protection hidden="1"/>
    </xf>
    <xf numFmtId="49" fontId="4" fillId="0" borderId="7" xfId="2" applyNumberFormat="1" applyFont="1" applyBorder="1" applyAlignment="1" applyProtection="1">
      <alignment horizontal="center" vertical="center" wrapText="1"/>
      <protection locked="0"/>
    </xf>
    <xf numFmtId="49" fontId="4" fillId="0" borderId="5" xfId="2" applyNumberFormat="1" applyFont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Protection="1">
      <protection locked="0"/>
    </xf>
    <xf numFmtId="1" fontId="1" fillId="0" borderId="7" xfId="2" applyNumberFormat="1" applyBorder="1" applyProtection="1">
      <protection hidden="1"/>
    </xf>
    <xf numFmtId="2" fontId="1" fillId="0" borderId="7" xfId="2" applyNumberFormat="1" applyBorder="1" applyProtection="1">
      <protection locked="0"/>
    </xf>
    <xf numFmtId="0" fontId="1" fillId="0" borderId="7" xfId="2" applyBorder="1" applyProtection="1">
      <protection locked="0"/>
    </xf>
    <xf numFmtId="49" fontId="4" fillId="0" borderId="14" xfId="2" applyNumberFormat="1" applyFont="1" applyBorder="1" applyAlignment="1" applyProtection="1">
      <alignment vertical="center" wrapText="1"/>
      <protection locked="0"/>
    </xf>
    <xf numFmtId="49" fontId="4" fillId="0" borderId="7" xfId="2" applyNumberFormat="1" applyFont="1" applyBorder="1" applyAlignment="1" applyProtection="1">
      <alignment vertical="center" wrapText="1"/>
      <protection locked="0"/>
    </xf>
    <xf numFmtId="0" fontId="12" fillId="0" borderId="5" xfId="2" applyFont="1" applyBorder="1" applyAlignment="1">
      <alignment horizontal="center" vertical="top" wrapText="1"/>
    </xf>
    <xf numFmtId="0" fontId="1" fillId="0" borderId="19" xfId="2" applyBorder="1"/>
    <xf numFmtId="164" fontId="20" fillId="0" borderId="0" xfId="2" applyNumberFormat="1" applyFont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horizontal="center" vertical="center" wrapText="1"/>
      <protection hidden="1"/>
    </xf>
    <xf numFmtId="0" fontId="17" fillId="0" borderId="2" xfId="0" applyFont="1" applyBorder="1"/>
    <xf numFmtId="0" fontId="4" fillId="0" borderId="2" xfId="2" applyFont="1" applyBorder="1"/>
    <xf numFmtId="0" fontId="18" fillId="0" borderId="11" xfId="2" applyFont="1" applyBorder="1" applyAlignment="1">
      <alignment horizontal="center"/>
    </xf>
    <xf numFmtId="0" fontId="1" fillId="0" borderId="8" xfId="2" applyBorder="1" applyProtection="1">
      <protection locked="0"/>
    </xf>
    <xf numFmtId="0" fontId="12" fillId="0" borderId="12" xfId="2" applyFont="1" applyBorder="1" applyAlignment="1">
      <alignment horizontal="center" vertical="center" wrapText="1"/>
    </xf>
    <xf numFmtId="0" fontId="18" fillId="0" borderId="12" xfId="2" applyFont="1" applyBorder="1" applyAlignment="1">
      <alignment horizontal="center"/>
    </xf>
    <xf numFmtId="0" fontId="25" fillId="0" borderId="6" xfId="2" applyFont="1" applyBorder="1"/>
    <xf numFmtId="0" fontId="18" fillId="0" borderId="2" xfId="2" applyFont="1" applyBorder="1" applyAlignment="1">
      <alignment horizontal="center"/>
    </xf>
    <xf numFmtId="0" fontId="25" fillId="0" borderId="3" xfId="2" applyFont="1" applyBorder="1"/>
    <xf numFmtId="0" fontId="25" fillId="0" borderId="4" xfId="2" applyFont="1" applyBorder="1"/>
    <xf numFmtId="0" fontId="1" fillId="3" borderId="12" xfId="2" applyFill="1" applyBorder="1" applyAlignment="1">
      <alignment horizontal="center"/>
    </xf>
    <xf numFmtId="0" fontId="1" fillId="3" borderId="13" xfId="2" applyFill="1" applyBorder="1" applyAlignment="1">
      <alignment horizontal="center"/>
    </xf>
    <xf numFmtId="0" fontId="12" fillId="3" borderId="12" xfId="2" applyFont="1" applyFill="1" applyBorder="1" applyAlignment="1">
      <alignment horizontal="center" wrapText="1"/>
    </xf>
    <xf numFmtId="0" fontId="12" fillId="3" borderId="13" xfId="2" applyFont="1" applyFill="1" applyBorder="1" applyAlignment="1">
      <alignment horizontal="center" wrapText="1"/>
    </xf>
    <xf numFmtId="0" fontId="1" fillId="3" borderId="12" xfId="2" applyFill="1" applyBorder="1" applyAlignment="1">
      <alignment horizontal="center" vertical="center"/>
    </xf>
    <xf numFmtId="0" fontId="1" fillId="3" borderId="13" xfId="2" applyFill="1" applyBorder="1" applyAlignment="1">
      <alignment horizontal="center" vertical="center"/>
    </xf>
    <xf numFmtId="0" fontId="8" fillId="0" borderId="9" xfId="2" applyFont="1" applyBorder="1" applyAlignment="1">
      <alignment horizontal="left"/>
    </xf>
    <xf numFmtId="0" fontId="8" fillId="0" borderId="11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1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8" fillId="0" borderId="2" xfId="2" applyFont="1" applyBorder="1" applyAlignment="1">
      <alignment horizontal="left"/>
    </xf>
    <xf numFmtId="0" fontId="1" fillId="0" borderId="12" xfId="3" applyBorder="1" applyAlignment="1" applyProtection="1">
      <alignment horizontal="center"/>
      <protection locked="0"/>
    </xf>
    <xf numFmtId="0" fontId="1" fillId="0" borderId="8" xfId="3" applyBorder="1" applyAlignment="1" applyProtection="1">
      <alignment horizontal="center"/>
      <protection locked="0"/>
    </xf>
    <xf numFmtId="0" fontId="1" fillId="0" borderId="13" xfId="3" applyBorder="1" applyAlignment="1" applyProtection="1">
      <alignment horizontal="center"/>
      <protection locked="0"/>
    </xf>
    <xf numFmtId="0" fontId="17" fillId="0" borderId="3" xfId="0" applyFont="1" applyBorder="1" applyAlignment="1">
      <alignment horizontal="center"/>
    </xf>
    <xf numFmtId="0" fontId="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167" fontId="20" fillId="0" borderId="12" xfId="2" applyNumberFormat="1" applyFont="1" applyBorder="1" applyAlignment="1" applyProtection="1">
      <alignment horizontal="center" vertical="center"/>
      <protection hidden="1"/>
    </xf>
    <xf numFmtId="167" fontId="20" fillId="0" borderId="8" xfId="2" applyNumberFormat="1" applyFont="1" applyBorder="1" applyAlignment="1" applyProtection="1">
      <alignment horizontal="center" vertical="center"/>
      <protection hidden="1"/>
    </xf>
    <xf numFmtId="167" fontId="20" fillId="0" borderId="13" xfId="2" applyNumberFormat="1" applyFont="1" applyBorder="1" applyAlignment="1" applyProtection="1">
      <alignment horizontal="center" vertical="center"/>
      <protection hidden="1"/>
    </xf>
    <xf numFmtId="0" fontId="1" fillId="0" borderId="12" xfId="2" applyBorder="1" applyAlignment="1">
      <alignment horizontal="center"/>
    </xf>
    <xf numFmtId="0" fontId="1" fillId="0" borderId="8" xfId="2" applyBorder="1" applyAlignment="1">
      <alignment horizontal="center"/>
    </xf>
    <xf numFmtId="0" fontId="1" fillId="0" borderId="13" xfId="2" applyBorder="1" applyAlignment="1">
      <alignment horizontal="center"/>
    </xf>
    <xf numFmtId="0" fontId="6" fillId="0" borderId="15" xfId="2" applyFont="1" applyBorder="1" applyAlignment="1" applyProtection="1">
      <alignment horizontal="center" vertical="center"/>
      <protection locked="0"/>
    </xf>
    <xf numFmtId="0" fontId="6" fillId="0" borderId="16" xfId="2" applyFont="1" applyBorder="1" applyAlignment="1" applyProtection="1">
      <alignment horizontal="center" vertical="center"/>
      <protection locked="0"/>
    </xf>
    <xf numFmtId="0" fontId="6" fillId="0" borderId="17" xfId="2" applyFont="1" applyBorder="1" applyAlignment="1" applyProtection="1">
      <alignment horizontal="center" vertical="center"/>
      <protection locked="0"/>
    </xf>
    <xf numFmtId="0" fontId="12" fillId="0" borderId="14" xfId="2" applyFont="1" applyBorder="1" applyAlignment="1">
      <alignment horizontal="center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168" fontId="16" fillId="0" borderId="7" xfId="2" applyNumberFormat="1" applyFont="1" applyBorder="1" applyAlignment="1">
      <alignment horizontal="center" vertical="center" wrapText="1"/>
    </xf>
    <xf numFmtId="0" fontId="1" fillId="0" borderId="12" xfId="1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3" fillId="0" borderId="9" xfId="2" applyFont="1" applyBorder="1" applyAlignment="1">
      <alignment horizontal="center"/>
    </xf>
    <xf numFmtId="0" fontId="3" fillId="0" borderId="10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3" fillId="0" borderId="6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18" fillId="0" borderId="12" xfId="2" applyFont="1" applyBorder="1" applyAlignment="1">
      <alignment horizontal="center"/>
    </xf>
    <xf numFmtId="0" fontId="18" fillId="0" borderId="8" xfId="2" applyFont="1" applyBorder="1" applyAlignment="1">
      <alignment horizontal="center"/>
    </xf>
    <xf numFmtId="0" fontId="18" fillId="0" borderId="13" xfId="2" applyFont="1" applyBorder="1" applyAlignment="1">
      <alignment horizontal="center"/>
    </xf>
    <xf numFmtId="15" fontId="6" fillId="0" borderId="5" xfId="2" applyNumberFormat="1" applyFont="1" applyBorder="1" applyAlignment="1">
      <alignment horizontal="center" vertical="center"/>
    </xf>
    <xf numFmtId="167" fontId="23" fillId="0" borderId="6" xfId="2" applyNumberFormat="1" applyFont="1" applyBorder="1" applyAlignment="1" applyProtection="1">
      <alignment horizontal="center" vertical="center"/>
      <protection hidden="1"/>
    </xf>
    <xf numFmtId="167" fontId="23" fillId="0" borderId="3" xfId="2" applyNumberFormat="1" applyFont="1" applyBorder="1" applyAlignment="1" applyProtection="1">
      <alignment horizontal="center" vertical="center"/>
      <protection hidden="1"/>
    </xf>
    <xf numFmtId="167" fontId="23" fillId="0" borderId="4" xfId="2" applyNumberFormat="1" applyFont="1" applyBorder="1" applyAlignment="1" applyProtection="1">
      <alignment horizontal="center" vertical="center"/>
      <protection hidden="1"/>
    </xf>
    <xf numFmtId="15" fontId="1" fillId="0" borderId="5" xfId="2" applyNumberFormat="1" applyBorder="1" applyAlignment="1" applyProtection="1">
      <alignment horizontal="center" vertical="center"/>
      <protection locked="0"/>
    </xf>
    <xf numFmtId="15" fontId="6" fillId="0" borderId="6" xfId="2" applyNumberFormat="1" applyFont="1" applyBorder="1" applyAlignment="1">
      <alignment horizontal="center" vertical="center"/>
    </xf>
    <xf numFmtId="15" fontId="6" fillId="0" borderId="3" xfId="2" applyNumberFormat="1" applyFont="1" applyBorder="1" applyAlignment="1">
      <alignment horizontal="center" vertical="center"/>
    </xf>
    <xf numFmtId="15" fontId="6" fillId="0" borderId="4" xfId="2" applyNumberFormat="1" applyFont="1" applyBorder="1" applyAlignment="1">
      <alignment horizontal="center" vertical="center"/>
    </xf>
    <xf numFmtId="49" fontId="18" fillId="0" borderId="12" xfId="2" applyNumberFormat="1" applyFont="1" applyBorder="1" applyAlignment="1">
      <alignment horizontal="left"/>
    </xf>
    <xf numFmtId="49" fontId="18" fillId="0" borderId="8" xfId="2" applyNumberFormat="1" applyFont="1" applyBorder="1" applyAlignment="1">
      <alignment horizontal="left"/>
    </xf>
    <xf numFmtId="49" fontId="18" fillId="0" borderId="13" xfId="2" applyNumberFormat="1" applyFont="1" applyBorder="1" applyAlignment="1">
      <alignment horizontal="left"/>
    </xf>
    <xf numFmtId="49" fontId="1" fillId="0" borderId="6" xfId="2" applyNumberFormat="1" applyBorder="1" applyAlignment="1" applyProtection="1">
      <alignment horizontal="left" vertical="center"/>
      <protection locked="0"/>
    </xf>
    <xf numFmtId="49" fontId="1" fillId="0" borderId="3" xfId="2" applyNumberFormat="1" applyBorder="1" applyAlignment="1" applyProtection="1">
      <alignment horizontal="left" vertical="center"/>
      <protection locked="0"/>
    </xf>
    <xf numFmtId="49" fontId="1" fillId="0" borderId="4" xfId="2" applyNumberFormat="1" applyBorder="1" applyAlignment="1" applyProtection="1">
      <alignment horizontal="left" vertical="center"/>
      <protection locked="0"/>
    </xf>
    <xf numFmtId="0" fontId="15" fillId="0" borderId="14" xfId="2" applyFont="1" applyBorder="1" applyAlignment="1">
      <alignment horizontal="center" vertical="center" wrapText="1"/>
    </xf>
    <xf numFmtId="0" fontId="15" fillId="0" borderId="5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_LIMICAL" xfId="1" xr:uid="{00000000-0005-0000-0000-000003000000}"/>
  </cellStyles>
  <dxfs count="11">
    <dxf>
      <fill>
        <patternFill>
          <fgColor theme="0"/>
        </patternFill>
      </fill>
    </dxf>
    <dxf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/>
        </patternFill>
      </fill>
    </dxf>
    <dxf>
      <fill>
        <patternFill>
          <f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160533</xdr:colOff>
      <xdr:row>25</xdr:row>
      <xdr:rowOff>171238</xdr:rowOff>
    </xdr:from>
    <xdr:to>
      <xdr:col>16</xdr:col>
      <xdr:colOff>560582</xdr:colOff>
      <xdr:row>31</xdr:row>
      <xdr:rowOff>64214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60533" y="7019713"/>
          <a:ext cx="10372724" cy="1283626"/>
          <a:chOff x="142876" y="6232347"/>
          <a:chExt cx="9935751" cy="1141501"/>
        </a:xfrm>
      </xdr:grpSpPr>
      <xdr:pic>
        <xdr:nvPicPr>
          <xdr:cNvPr id="10" name="9 Imagen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0973"/>
          <a:stretch/>
        </xdr:blipFill>
        <xdr:spPr bwMode="auto">
          <a:xfrm>
            <a:off x="142876" y="6241873"/>
            <a:ext cx="2157680" cy="1131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1" name="10 Imagen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2669"/>
          <a:stretch/>
        </xdr:blipFill>
        <xdr:spPr bwMode="auto">
          <a:xfrm>
            <a:off x="2195781" y="6241873"/>
            <a:ext cx="1646434" cy="111057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2" name="11 Imagen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1698"/>
          <a:stretch/>
        </xdr:blipFill>
        <xdr:spPr bwMode="auto">
          <a:xfrm>
            <a:off x="3804221" y="6232347"/>
            <a:ext cx="1419974" cy="112009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12 Imagen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2395"/>
          <a:stretch/>
        </xdr:blipFill>
        <xdr:spPr bwMode="auto">
          <a:xfrm>
            <a:off x="5062271" y="6367837"/>
            <a:ext cx="1851382" cy="99530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4" name="13 Imagen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0392"/>
          <a:stretch/>
        </xdr:blipFill>
        <xdr:spPr bwMode="auto">
          <a:xfrm>
            <a:off x="6871592" y="6410646"/>
            <a:ext cx="1670835" cy="9632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5" name="14 Imagen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1334"/>
          <a:stretch/>
        </xdr:blipFill>
        <xdr:spPr bwMode="auto">
          <a:xfrm>
            <a:off x="8523377" y="6410646"/>
            <a:ext cx="1555250" cy="94179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139128</xdr:colOff>
      <xdr:row>0</xdr:row>
      <xdr:rowOff>64213</xdr:rowOff>
    </xdr:from>
    <xdr:to>
      <xdr:col>1</xdr:col>
      <xdr:colOff>2129746</xdr:colOff>
      <xdr:row>2</xdr:row>
      <xdr:rowOff>310365</xdr:rowOff>
    </xdr:to>
    <xdr:grpSp>
      <xdr:nvGrpSpPr>
        <xdr:cNvPr id="17" name="Grupo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>
          <a:grpSpLocks/>
        </xdr:cNvGrpSpPr>
      </xdr:nvGrpSpPr>
      <xdr:grpSpPr bwMode="auto">
        <a:xfrm>
          <a:off x="139128" y="64213"/>
          <a:ext cx="2724043" cy="1008152"/>
          <a:chOff x="45983" y="124810"/>
          <a:chExt cx="1661947" cy="696311"/>
        </a:xfrm>
      </xdr:grpSpPr>
      <xdr:pic>
        <xdr:nvPicPr>
          <xdr:cNvPr id="18" name="10 Imagen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0264" b="18062"/>
          <a:stretch>
            <a:fillRect/>
          </a:stretch>
        </xdr:blipFill>
        <xdr:spPr bwMode="auto">
          <a:xfrm>
            <a:off x="45983" y="230281"/>
            <a:ext cx="1661947" cy="4594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Rectángulo redondeado 1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91966" y="124810"/>
            <a:ext cx="1563413" cy="696311"/>
          </a:xfrm>
          <a:prstGeom prst="roundRect">
            <a:avLst>
              <a:gd name="adj" fmla="val 6292"/>
            </a:avLst>
          </a:prstGeom>
          <a:noFill/>
          <a:ln w="9525" algn="ctr">
            <a:solidFill>
              <a:srgbClr val="0070C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P65"/>
  <sheetViews>
    <sheetView showGridLines="0" tabSelected="1" view="pageBreakPreview" zoomScale="89" zoomScaleNormal="90" zoomScaleSheetLayoutView="89" workbookViewId="0">
      <selection activeCell="L11" sqref="L11"/>
    </sheetView>
  </sheetViews>
  <sheetFormatPr baseColWidth="10" defaultColWidth="11.42578125" defaultRowHeight="12.75" x14ac:dyDescent="0.2"/>
  <cols>
    <col min="1" max="1" width="11" style="1" customWidth="1"/>
    <col min="2" max="2" width="32.140625" style="1" customWidth="1"/>
    <col min="3" max="3" width="11.85546875" style="1" customWidth="1"/>
    <col min="4" max="5" width="4.85546875" style="1" customWidth="1"/>
    <col min="6" max="6" width="3" style="1" customWidth="1"/>
    <col min="7" max="7" width="6.85546875" style="1" customWidth="1"/>
    <col min="8" max="8" width="9.5703125" style="1" customWidth="1"/>
    <col min="9" max="9" width="9.85546875" style="1" customWidth="1"/>
    <col min="10" max="10" width="10.42578125" style="1" customWidth="1"/>
    <col min="11" max="12" width="6.7109375" style="1" customWidth="1"/>
    <col min="13" max="13" width="11.5703125" style="1" customWidth="1"/>
    <col min="14" max="16" width="6.7109375" style="1" customWidth="1"/>
    <col min="17" max="17" width="10.5703125" style="1" customWidth="1"/>
    <col min="18" max="18" width="9.5703125" style="1" customWidth="1"/>
    <col min="19" max="19" width="9.140625" style="1" customWidth="1"/>
    <col min="20" max="20" width="7" style="1" customWidth="1"/>
    <col min="21" max="21" width="10.28515625" style="1" customWidth="1"/>
    <col min="22" max="26" width="11.42578125" style="1" customWidth="1"/>
    <col min="27" max="27" width="11.42578125" style="1" hidden="1" customWidth="1"/>
    <col min="28" max="28" width="25.140625" style="1" hidden="1" customWidth="1"/>
    <col min="29" max="16384" width="11.42578125" style="1"/>
  </cols>
  <sheetData>
    <row r="1" spans="1:120" ht="30" customHeight="1" x14ac:dyDescent="0.2">
      <c r="A1" s="149"/>
      <c r="B1" s="150"/>
      <c r="C1" s="145" t="s">
        <v>67</v>
      </c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6" t="s">
        <v>45</v>
      </c>
      <c r="T1" s="147"/>
      <c r="U1" s="148"/>
    </row>
    <row r="2" spans="1:120" s="34" customFormat="1" ht="30" customHeight="1" x14ac:dyDescent="0.2">
      <c r="A2" s="151"/>
      <c r="B2" s="152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6" t="s">
        <v>68</v>
      </c>
      <c r="T2" s="147"/>
      <c r="U2" s="148"/>
      <c r="X2" s="34" t="s">
        <v>71</v>
      </c>
    </row>
    <row r="3" spans="1:120" s="34" customFormat="1" ht="30" customHeight="1" x14ac:dyDescent="0.2">
      <c r="A3" s="153"/>
      <c r="B3" s="15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6" t="s">
        <v>70</v>
      </c>
      <c r="T3" s="147"/>
      <c r="U3" s="148"/>
      <c r="X3" s="34" t="s">
        <v>57</v>
      </c>
    </row>
    <row r="4" spans="1:120" s="34" customFormat="1" ht="15.75" customHeight="1" x14ac:dyDescent="0.25">
      <c r="A4" s="155" t="s">
        <v>71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7"/>
      <c r="V4" s="34" t="s">
        <v>26</v>
      </c>
    </row>
    <row r="5" spans="1:120" s="34" customFormat="1" ht="15.75" customHeight="1" x14ac:dyDescent="0.25">
      <c r="A5" s="108"/>
      <c r="B5" s="105"/>
      <c r="C5" s="105"/>
      <c r="D5" s="105"/>
      <c r="E5" s="105"/>
      <c r="F5" s="105"/>
      <c r="G5" s="105"/>
      <c r="H5" s="10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110"/>
    </row>
    <row r="6" spans="1:120" s="34" customFormat="1" ht="15.75" customHeight="1" x14ac:dyDescent="0.25">
      <c r="A6" s="77" t="s">
        <v>61</v>
      </c>
      <c r="B6" s="166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8"/>
    </row>
    <row r="7" spans="1:120" ht="15.75" customHeight="1" x14ac:dyDescent="0.2">
      <c r="A7" s="77" t="s">
        <v>44</v>
      </c>
      <c r="B7" s="169"/>
      <c r="C7" s="170"/>
      <c r="D7" s="170"/>
      <c r="E7" s="170"/>
      <c r="F7" s="170"/>
      <c r="G7" s="170"/>
      <c r="H7" s="171"/>
      <c r="I7" s="158" t="s">
        <v>31</v>
      </c>
      <c r="J7" s="158"/>
      <c r="K7" s="159"/>
      <c r="L7" s="160"/>
      <c r="M7" s="160"/>
      <c r="N7" s="161"/>
      <c r="O7" s="163"/>
      <c r="P7" s="164"/>
      <c r="Q7" s="165"/>
      <c r="R7" s="158" t="s">
        <v>43</v>
      </c>
      <c r="S7" s="158"/>
      <c r="T7" s="162"/>
      <c r="U7" s="162"/>
      <c r="V7" s="1" t="s">
        <v>27</v>
      </c>
      <c r="AA7" s="113" t="s">
        <v>49</v>
      </c>
      <c r="AB7" s="114"/>
    </row>
    <row r="8" spans="1:120" ht="27.75" customHeight="1" x14ac:dyDescent="0.2">
      <c r="A8" s="100"/>
      <c r="B8" s="140" t="s">
        <v>16</v>
      </c>
      <c r="C8" s="86" t="s">
        <v>1</v>
      </c>
      <c r="D8" s="142" t="s">
        <v>23</v>
      </c>
      <c r="E8" s="143"/>
      <c r="F8" s="144"/>
      <c r="G8" s="86" t="s">
        <v>24</v>
      </c>
      <c r="H8" s="86" t="s">
        <v>11</v>
      </c>
      <c r="I8" s="86" t="s">
        <v>10</v>
      </c>
      <c r="J8" s="86" t="s">
        <v>18</v>
      </c>
      <c r="K8" s="142" t="s">
        <v>2</v>
      </c>
      <c r="L8" s="144"/>
      <c r="M8" s="86" t="s">
        <v>9</v>
      </c>
      <c r="N8" s="142" t="s">
        <v>15</v>
      </c>
      <c r="O8" s="143"/>
      <c r="P8" s="144"/>
      <c r="Q8" s="172" t="s">
        <v>12</v>
      </c>
      <c r="R8" s="140" t="s">
        <v>20</v>
      </c>
      <c r="S8" s="140" t="s">
        <v>8</v>
      </c>
      <c r="T8" s="140" t="s">
        <v>6</v>
      </c>
      <c r="U8" s="140" t="s">
        <v>19</v>
      </c>
      <c r="AA8" s="80">
        <v>0</v>
      </c>
      <c r="AB8" s="80" t="s">
        <v>62</v>
      </c>
      <c r="AD8" s="1" t="s">
        <v>53</v>
      </c>
    </row>
    <row r="9" spans="1:120" ht="22.5" customHeight="1" x14ac:dyDescent="0.2">
      <c r="A9" s="99" t="s">
        <v>22</v>
      </c>
      <c r="B9" s="141"/>
      <c r="C9" s="107" t="s">
        <v>14</v>
      </c>
      <c r="D9" s="142" t="s">
        <v>14</v>
      </c>
      <c r="E9" s="143"/>
      <c r="F9" s="144"/>
      <c r="G9" s="62" t="s">
        <v>34</v>
      </c>
      <c r="H9" s="62" t="s">
        <v>3</v>
      </c>
      <c r="I9" s="62" t="s">
        <v>3</v>
      </c>
      <c r="J9" s="62" t="s">
        <v>35</v>
      </c>
      <c r="K9" s="62" t="s">
        <v>4</v>
      </c>
      <c r="L9" s="62" t="s">
        <v>17</v>
      </c>
      <c r="M9" s="62" t="s">
        <v>58</v>
      </c>
      <c r="N9" s="62" t="s">
        <v>7</v>
      </c>
      <c r="O9" s="63" t="s">
        <v>13</v>
      </c>
      <c r="P9" s="63" t="s">
        <v>38</v>
      </c>
      <c r="Q9" s="173"/>
      <c r="R9" s="141"/>
      <c r="S9" s="141"/>
      <c r="T9" s="141"/>
      <c r="U9" s="141"/>
      <c r="AA9" s="73">
        <v>24.9</v>
      </c>
      <c r="AB9" s="80" t="s">
        <v>62</v>
      </c>
    </row>
    <row r="10" spans="1:120" s="76" customFormat="1" ht="21" customHeight="1" x14ac:dyDescent="0.2">
      <c r="A10" s="27"/>
      <c r="B10" s="97"/>
      <c r="C10" s="28"/>
      <c r="D10" s="131" t="str">
        <f>IF(C10="","",IF(C10="-","-",C10+G10))</f>
        <v/>
      </c>
      <c r="E10" s="132"/>
      <c r="F10" s="133"/>
      <c r="G10" s="81"/>
      <c r="H10" s="88" t="str">
        <f>IF(W50=0,"",W50)</f>
        <v/>
      </c>
      <c r="I10" s="88" t="str">
        <f>IF(V50=0,"",V50)</f>
        <v/>
      </c>
      <c r="J10" s="87">
        <f>IF(I10="",0,IF(I10="-","-",+I10^2*PI()/400))</f>
        <v>0</v>
      </c>
      <c r="K10" s="88">
        <f t="shared" ref="K10:K25" si="0">IF(L10="","",IF(L10="-","-",+L10/$Y$13))</f>
        <v>0</v>
      </c>
      <c r="L10" s="89">
        <f>IF(T47=0,0,T47)</f>
        <v>0</v>
      </c>
      <c r="M10" s="78"/>
      <c r="N10" s="88" t="str">
        <f>IFERROR(IF(J10="-","-",+K10/J10),"")</f>
        <v/>
      </c>
      <c r="O10" s="89" t="str">
        <f>IF(L10&gt;0,($L10*101.9716/J10)/10,"")</f>
        <v/>
      </c>
      <c r="P10" s="88" t="str">
        <f>IF(N10="","",N10/0.07)</f>
        <v/>
      </c>
      <c r="Q10" s="90">
        <f>IFERROR(O10/M10*100,0)</f>
        <v>0</v>
      </c>
      <c r="R10" s="88" t="str">
        <f>IFERROR(IF(V13="-","-",+MROUND(V13/(J10*H10/10000000)/1000,10)),"")</f>
        <v/>
      </c>
      <c r="S10" s="87" t="str">
        <f>IFERROR(IF(H10="-","-",H10/I10),"")</f>
        <v/>
      </c>
      <c r="T10" s="82"/>
      <c r="U10" s="102">
        <f t="shared" ref="U10:U25" si="1">IF(Q10="","",IF(G10=1,"N/A",IF(G10=3,VLOOKUP(Q10,TRES.,2,1),IF(G10=7,VLOOKUP(Q10,SIETE.,2,1),IF(G10=14,VLOOKUP(Q10,CATORCE.,2,1),IF(OR(G10=28,G10=56),VLOOKUP(Q10,OTRAS.,2,1),0))))))</f>
        <v>0</v>
      </c>
      <c r="AA10" s="80">
        <v>34.9</v>
      </c>
      <c r="AB10" s="73" t="s">
        <v>62</v>
      </c>
    </row>
    <row r="11" spans="1:120" s="31" customFormat="1" ht="21" customHeight="1" x14ac:dyDescent="0.2">
      <c r="A11" s="27"/>
      <c r="B11" s="98"/>
      <c r="C11" s="28"/>
      <c r="D11" s="131" t="str">
        <f t="shared" ref="D11:D25" si="2">IF(C11="","",IF(C11="-","-",C11+G11))</f>
        <v/>
      </c>
      <c r="E11" s="132"/>
      <c r="F11" s="133"/>
      <c r="G11" s="81"/>
      <c r="H11" s="88" t="str">
        <f t="shared" ref="H11:H25" si="3">IF(W51=0,"",W51)</f>
        <v/>
      </c>
      <c r="I11" s="88" t="str">
        <f t="shared" ref="I11:I25" si="4">IF(V51=0,"",V51)</f>
        <v/>
      </c>
      <c r="J11" s="87">
        <f t="shared" ref="J11:J25" si="5">IF(I11="",0,IF(I11="-","-",+I11^2*PI()/400))</f>
        <v>0</v>
      </c>
      <c r="K11" s="88">
        <f t="shared" si="0"/>
        <v>0</v>
      </c>
      <c r="L11" s="89">
        <f t="shared" ref="L11:L25" si="6">IF(T48=0,0,T48)</f>
        <v>0</v>
      </c>
      <c r="M11" s="78"/>
      <c r="N11" s="88" t="str">
        <f t="shared" ref="N11:N25" si="7">IFERROR(IF(J11="-","-",+K11/J11),"")</f>
        <v/>
      </c>
      <c r="O11" s="89" t="str">
        <f t="shared" ref="O11:O25" si="8">IF(L11&gt;0,($L11*101.9716/J11)/10,"")</f>
        <v/>
      </c>
      <c r="P11" s="88" t="str">
        <f t="shared" ref="P11:P25" si="9">IF(N11="","",N11/0.07)</f>
        <v/>
      </c>
      <c r="Q11" s="90">
        <f t="shared" ref="Q11:Q25" si="10">IFERROR(O11/M11*100,0)</f>
        <v>0</v>
      </c>
      <c r="R11" s="88" t="str">
        <f t="shared" ref="R11:R25" si="11">IFERROR(IF(V14="-","-",+MROUND(V14/(J11*H11/10000000)/1000,10)),"")</f>
        <v/>
      </c>
      <c r="S11" s="87" t="str">
        <f t="shared" ref="S11:S25" si="12">IFERROR(IF(H11="-","-",H11/I11),"")</f>
        <v/>
      </c>
      <c r="T11" s="82"/>
      <c r="U11" s="102">
        <f t="shared" si="1"/>
        <v>0</v>
      </c>
      <c r="V11" s="174" t="s">
        <v>21</v>
      </c>
      <c r="W11" s="30"/>
      <c r="X11" s="30"/>
      <c r="Y11" s="30"/>
      <c r="Z11" s="30"/>
      <c r="AA11" s="80">
        <v>40</v>
      </c>
      <c r="AB11" s="73" t="s">
        <v>62</v>
      </c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</row>
    <row r="12" spans="1:120" s="30" customFormat="1" ht="21" customHeight="1" thickBot="1" x14ac:dyDescent="0.25">
      <c r="A12" s="27"/>
      <c r="B12" s="91"/>
      <c r="C12" s="28"/>
      <c r="D12" s="131" t="str">
        <f t="shared" si="2"/>
        <v/>
      </c>
      <c r="E12" s="132"/>
      <c r="F12" s="133"/>
      <c r="G12" s="82"/>
      <c r="H12" s="88" t="str">
        <f t="shared" si="3"/>
        <v/>
      </c>
      <c r="I12" s="88" t="str">
        <f t="shared" si="4"/>
        <v/>
      </c>
      <c r="J12" s="87">
        <f t="shared" si="5"/>
        <v>0</v>
      </c>
      <c r="K12" s="88">
        <f t="shared" si="0"/>
        <v>0</v>
      </c>
      <c r="L12" s="89">
        <f t="shared" si="6"/>
        <v>0</v>
      </c>
      <c r="M12" s="83"/>
      <c r="N12" s="88" t="str">
        <f t="shared" si="7"/>
        <v/>
      </c>
      <c r="O12" s="89" t="str">
        <f t="shared" si="8"/>
        <v/>
      </c>
      <c r="P12" s="88" t="str">
        <f t="shared" si="9"/>
        <v/>
      </c>
      <c r="Q12" s="90">
        <f t="shared" si="10"/>
        <v>0</v>
      </c>
      <c r="R12" s="88" t="str">
        <f t="shared" si="11"/>
        <v/>
      </c>
      <c r="S12" s="87" t="str">
        <f t="shared" si="12"/>
        <v/>
      </c>
      <c r="T12" s="82"/>
      <c r="U12" s="102">
        <f t="shared" si="1"/>
        <v>0</v>
      </c>
      <c r="V12" s="174"/>
      <c r="AA12" s="76"/>
      <c r="AB12" s="1"/>
      <c r="AH12" s="113" t="s">
        <v>49</v>
      </c>
      <c r="AI12" s="114"/>
    </row>
    <row r="13" spans="1:120" s="19" customFormat="1" ht="21" customHeight="1" thickBot="1" x14ac:dyDescent="0.25">
      <c r="A13" s="27"/>
      <c r="B13" s="91"/>
      <c r="C13" s="28"/>
      <c r="D13" s="131" t="str">
        <f t="shared" si="2"/>
        <v/>
      </c>
      <c r="E13" s="132"/>
      <c r="F13" s="133"/>
      <c r="G13" s="82"/>
      <c r="H13" s="88" t="str">
        <f t="shared" si="3"/>
        <v/>
      </c>
      <c r="I13" s="88" t="str">
        <f t="shared" si="4"/>
        <v/>
      </c>
      <c r="J13" s="87">
        <f t="shared" si="5"/>
        <v>0</v>
      </c>
      <c r="K13" s="88">
        <f t="shared" si="0"/>
        <v>0</v>
      </c>
      <c r="L13" s="89">
        <f t="shared" si="6"/>
        <v>0</v>
      </c>
      <c r="M13" s="83"/>
      <c r="N13" s="88" t="str">
        <f t="shared" si="7"/>
        <v/>
      </c>
      <c r="O13" s="89" t="str">
        <f t="shared" si="8"/>
        <v/>
      </c>
      <c r="P13" s="88" t="str">
        <f t="shared" si="9"/>
        <v/>
      </c>
      <c r="Q13" s="90">
        <f t="shared" si="10"/>
        <v>0</v>
      </c>
      <c r="R13" s="88" t="str">
        <f t="shared" si="11"/>
        <v/>
      </c>
      <c r="S13" s="87" t="str">
        <f t="shared" si="12"/>
        <v/>
      </c>
      <c r="T13" s="82"/>
      <c r="U13" s="102">
        <f t="shared" si="1"/>
        <v>0</v>
      </c>
      <c r="V13" s="72">
        <f t="shared" ref="V13:V28" si="13">+S47</f>
        <v>0</v>
      </c>
      <c r="X13" s="29" t="s">
        <v>54</v>
      </c>
      <c r="Y13" s="29">
        <v>9.8069999999999997E-3</v>
      </c>
      <c r="Z13" s="29" t="s">
        <v>55</v>
      </c>
      <c r="AA13" s="115" t="s">
        <v>50</v>
      </c>
      <c r="AB13" s="116"/>
      <c r="AH13" s="73">
        <v>0</v>
      </c>
      <c r="AI13" s="80" t="s">
        <v>48</v>
      </c>
    </row>
    <row r="14" spans="1:120" s="19" customFormat="1" ht="21" customHeight="1" thickBot="1" x14ac:dyDescent="0.25">
      <c r="A14" s="27"/>
      <c r="B14" s="91"/>
      <c r="C14" s="28"/>
      <c r="D14" s="131" t="str">
        <f t="shared" si="2"/>
        <v/>
      </c>
      <c r="E14" s="132"/>
      <c r="F14" s="133"/>
      <c r="G14" s="82"/>
      <c r="H14" s="88" t="str">
        <f t="shared" si="3"/>
        <v/>
      </c>
      <c r="I14" s="88" t="str">
        <f t="shared" si="4"/>
        <v/>
      </c>
      <c r="J14" s="87">
        <f t="shared" si="5"/>
        <v>0</v>
      </c>
      <c r="K14" s="88">
        <f t="shared" si="0"/>
        <v>0</v>
      </c>
      <c r="L14" s="89">
        <f t="shared" si="6"/>
        <v>0</v>
      </c>
      <c r="M14" s="83"/>
      <c r="N14" s="88" t="str">
        <f t="shared" si="7"/>
        <v/>
      </c>
      <c r="O14" s="89" t="str">
        <f t="shared" si="8"/>
        <v/>
      </c>
      <c r="P14" s="88" t="str">
        <f t="shared" si="9"/>
        <v/>
      </c>
      <c r="Q14" s="90">
        <f t="shared" si="10"/>
        <v>0</v>
      </c>
      <c r="R14" s="88" t="str">
        <f t="shared" si="11"/>
        <v/>
      </c>
      <c r="S14" s="87" t="str">
        <f t="shared" si="12"/>
        <v/>
      </c>
      <c r="T14" s="82"/>
      <c r="U14" s="102">
        <f t="shared" si="1"/>
        <v>0</v>
      </c>
      <c r="V14" s="72">
        <f t="shared" si="13"/>
        <v>0</v>
      </c>
      <c r="X14" s="29" t="s">
        <v>56</v>
      </c>
      <c r="Y14" s="29">
        <f>1/Y16</f>
        <v>9.8066135801984852E-2</v>
      </c>
      <c r="Z14" s="29" t="s">
        <v>13</v>
      </c>
      <c r="AA14" s="80">
        <v>0</v>
      </c>
      <c r="AB14" s="80" t="s">
        <v>62</v>
      </c>
      <c r="AH14" s="73">
        <v>24.9</v>
      </c>
      <c r="AI14" s="80" t="s">
        <v>47</v>
      </c>
    </row>
    <row r="15" spans="1:120" s="26" customFormat="1" ht="21" customHeight="1" thickBot="1" x14ac:dyDescent="0.25">
      <c r="A15" s="27"/>
      <c r="B15" s="91"/>
      <c r="C15" s="28"/>
      <c r="D15" s="131" t="str">
        <f t="shared" si="2"/>
        <v/>
      </c>
      <c r="E15" s="132"/>
      <c r="F15" s="133"/>
      <c r="G15" s="82"/>
      <c r="H15" s="88" t="str">
        <f t="shared" si="3"/>
        <v/>
      </c>
      <c r="I15" s="88" t="str">
        <f t="shared" si="4"/>
        <v/>
      </c>
      <c r="J15" s="87">
        <f t="shared" si="5"/>
        <v>0</v>
      </c>
      <c r="K15" s="88">
        <f t="shared" si="0"/>
        <v>0</v>
      </c>
      <c r="L15" s="89">
        <f t="shared" si="6"/>
        <v>0</v>
      </c>
      <c r="M15" s="83"/>
      <c r="N15" s="88" t="str">
        <f t="shared" si="7"/>
        <v/>
      </c>
      <c r="O15" s="89" t="str">
        <f t="shared" si="8"/>
        <v/>
      </c>
      <c r="P15" s="88" t="str">
        <f t="shared" si="9"/>
        <v/>
      </c>
      <c r="Q15" s="90">
        <f t="shared" si="10"/>
        <v>0</v>
      </c>
      <c r="R15" s="88" t="str">
        <f t="shared" si="11"/>
        <v/>
      </c>
      <c r="S15" s="87" t="str">
        <f t="shared" si="12"/>
        <v/>
      </c>
      <c r="T15" s="82"/>
      <c r="U15" s="102">
        <f t="shared" si="1"/>
        <v>0</v>
      </c>
      <c r="V15" s="72">
        <f t="shared" si="13"/>
        <v>0</v>
      </c>
      <c r="X15" s="19"/>
      <c r="Y15" s="19">
        <f>1/Y14</f>
        <v>10.1972</v>
      </c>
      <c r="AA15" s="73">
        <v>44.9</v>
      </c>
      <c r="AB15" s="80" t="s">
        <v>62</v>
      </c>
      <c r="AH15" s="80">
        <v>34.9</v>
      </c>
      <c r="AI15" s="73" t="s">
        <v>37</v>
      </c>
    </row>
    <row r="16" spans="1:120" s="26" customFormat="1" ht="21" customHeight="1" thickBot="1" x14ac:dyDescent="0.25">
      <c r="A16" s="27"/>
      <c r="B16" s="91"/>
      <c r="C16" s="28"/>
      <c r="D16" s="131" t="str">
        <f t="shared" si="2"/>
        <v/>
      </c>
      <c r="E16" s="132"/>
      <c r="F16" s="133"/>
      <c r="G16" s="82"/>
      <c r="H16" s="88" t="str">
        <f t="shared" si="3"/>
        <v/>
      </c>
      <c r="I16" s="88" t="str">
        <f t="shared" si="4"/>
        <v/>
      </c>
      <c r="J16" s="87">
        <f t="shared" si="5"/>
        <v>0</v>
      </c>
      <c r="K16" s="88">
        <f t="shared" si="0"/>
        <v>0</v>
      </c>
      <c r="L16" s="89">
        <f t="shared" si="6"/>
        <v>0</v>
      </c>
      <c r="M16" s="83"/>
      <c r="N16" s="88" t="str">
        <f t="shared" si="7"/>
        <v/>
      </c>
      <c r="O16" s="89" t="str">
        <f t="shared" si="8"/>
        <v/>
      </c>
      <c r="P16" s="88" t="str">
        <f t="shared" si="9"/>
        <v/>
      </c>
      <c r="Q16" s="90">
        <f t="shared" si="10"/>
        <v>0</v>
      </c>
      <c r="R16" s="88" t="str">
        <f t="shared" si="11"/>
        <v/>
      </c>
      <c r="S16" s="87" t="str">
        <f t="shared" si="12"/>
        <v/>
      </c>
      <c r="T16" s="82"/>
      <c r="U16" s="102">
        <f t="shared" si="1"/>
        <v>0</v>
      </c>
      <c r="V16" s="72">
        <f t="shared" si="13"/>
        <v>0</v>
      </c>
      <c r="X16" s="19"/>
      <c r="Y16" s="19">
        <v>10.1972</v>
      </c>
      <c r="AA16" s="80">
        <v>54.9</v>
      </c>
      <c r="AB16" s="80" t="s">
        <v>62</v>
      </c>
      <c r="AH16" s="80">
        <v>40</v>
      </c>
      <c r="AI16" s="73" t="s">
        <v>36</v>
      </c>
    </row>
    <row r="17" spans="1:35" s="26" customFormat="1" ht="21" customHeight="1" thickBot="1" x14ac:dyDescent="0.25">
      <c r="A17" s="27"/>
      <c r="B17" s="91"/>
      <c r="C17" s="28"/>
      <c r="D17" s="131" t="str">
        <f t="shared" si="2"/>
        <v/>
      </c>
      <c r="E17" s="132"/>
      <c r="F17" s="133"/>
      <c r="G17" s="82"/>
      <c r="H17" s="88" t="str">
        <f t="shared" si="3"/>
        <v/>
      </c>
      <c r="I17" s="88" t="str">
        <f t="shared" si="4"/>
        <v/>
      </c>
      <c r="J17" s="87">
        <f t="shared" si="5"/>
        <v>0</v>
      </c>
      <c r="K17" s="88">
        <f t="shared" si="0"/>
        <v>0</v>
      </c>
      <c r="L17" s="89">
        <f t="shared" si="6"/>
        <v>0</v>
      </c>
      <c r="M17" s="83"/>
      <c r="N17" s="88" t="str">
        <f t="shared" si="7"/>
        <v/>
      </c>
      <c r="O17" s="89" t="str">
        <f t="shared" si="8"/>
        <v/>
      </c>
      <c r="P17" s="88" t="str">
        <f t="shared" si="9"/>
        <v/>
      </c>
      <c r="Q17" s="90">
        <f t="shared" si="10"/>
        <v>0</v>
      </c>
      <c r="R17" s="88" t="str">
        <f t="shared" si="11"/>
        <v/>
      </c>
      <c r="S17" s="87" t="str">
        <f t="shared" si="12"/>
        <v/>
      </c>
      <c r="T17" s="82"/>
      <c r="U17" s="102">
        <f t="shared" si="1"/>
        <v>0</v>
      </c>
      <c r="V17" s="72">
        <f t="shared" si="13"/>
        <v>0</v>
      </c>
      <c r="X17" s="19"/>
      <c r="Y17" s="19"/>
      <c r="AA17" s="80">
        <v>60</v>
      </c>
      <c r="AB17" s="80" t="s">
        <v>62</v>
      </c>
      <c r="AH17" s="76"/>
      <c r="AI17" s="1"/>
    </row>
    <row r="18" spans="1:35" s="26" customFormat="1" ht="21" customHeight="1" thickBot="1" x14ac:dyDescent="0.25">
      <c r="A18" s="27"/>
      <c r="B18" s="91"/>
      <c r="C18" s="28"/>
      <c r="D18" s="131" t="str">
        <f t="shared" si="2"/>
        <v/>
      </c>
      <c r="E18" s="132"/>
      <c r="F18" s="133"/>
      <c r="G18" s="82"/>
      <c r="H18" s="88" t="str">
        <f t="shared" si="3"/>
        <v/>
      </c>
      <c r="I18" s="88" t="str">
        <f t="shared" si="4"/>
        <v/>
      </c>
      <c r="J18" s="87">
        <f t="shared" si="5"/>
        <v>0</v>
      </c>
      <c r="K18" s="88">
        <f t="shared" si="0"/>
        <v>0</v>
      </c>
      <c r="L18" s="89">
        <f t="shared" si="6"/>
        <v>0</v>
      </c>
      <c r="M18" s="83"/>
      <c r="N18" s="88" t="str">
        <f t="shared" si="7"/>
        <v/>
      </c>
      <c r="O18" s="89" t="str">
        <f t="shared" si="8"/>
        <v/>
      </c>
      <c r="P18" s="88" t="str">
        <f t="shared" si="9"/>
        <v/>
      </c>
      <c r="Q18" s="90">
        <f t="shared" si="10"/>
        <v>0</v>
      </c>
      <c r="R18" s="88" t="str">
        <f t="shared" si="11"/>
        <v/>
      </c>
      <c r="S18" s="87" t="str">
        <f t="shared" si="12"/>
        <v/>
      </c>
      <c r="T18" s="82"/>
      <c r="U18" s="102">
        <f t="shared" si="1"/>
        <v>0</v>
      </c>
      <c r="V18" s="72">
        <f t="shared" si="13"/>
        <v>0</v>
      </c>
      <c r="AA18" s="76"/>
      <c r="AB18" s="1"/>
      <c r="AH18" s="115" t="s">
        <v>50</v>
      </c>
      <c r="AI18" s="116"/>
    </row>
    <row r="19" spans="1:35" s="26" customFormat="1" ht="21" customHeight="1" thickBot="1" x14ac:dyDescent="0.25">
      <c r="A19" s="27"/>
      <c r="B19" s="92"/>
      <c r="C19" s="28"/>
      <c r="D19" s="131" t="str">
        <f t="shared" si="2"/>
        <v/>
      </c>
      <c r="E19" s="132"/>
      <c r="F19" s="133"/>
      <c r="G19" s="82"/>
      <c r="H19" s="88" t="str">
        <f t="shared" si="3"/>
        <v/>
      </c>
      <c r="I19" s="88" t="str">
        <f t="shared" si="4"/>
        <v/>
      </c>
      <c r="J19" s="87">
        <f t="shared" si="5"/>
        <v>0</v>
      </c>
      <c r="K19" s="88">
        <f t="shared" si="0"/>
        <v>0</v>
      </c>
      <c r="L19" s="89">
        <f t="shared" si="6"/>
        <v>0</v>
      </c>
      <c r="M19" s="83"/>
      <c r="N19" s="88" t="str">
        <f t="shared" si="7"/>
        <v/>
      </c>
      <c r="O19" s="89" t="str">
        <f t="shared" si="8"/>
        <v/>
      </c>
      <c r="P19" s="88" t="str">
        <f t="shared" si="9"/>
        <v/>
      </c>
      <c r="Q19" s="90">
        <f t="shared" si="10"/>
        <v>0</v>
      </c>
      <c r="R19" s="88" t="str">
        <f t="shared" si="11"/>
        <v/>
      </c>
      <c r="S19" s="87" t="str">
        <f t="shared" si="12"/>
        <v/>
      </c>
      <c r="T19" s="82"/>
      <c r="U19" s="102">
        <f t="shared" si="1"/>
        <v>0</v>
      </c>
      <c r="V19" s="72">
        <f t="shared" si="13"/>
        <v>0</v>
      </c>
      <c r="AA19" s="117" t="s">
        <v>51</v>
      </c>
      <c r="AB19" s="118"/>
      <c r="AH19" s="73">
        <v>0</v>
      </c>
      <c r="AI19" s="80" t="s">
        <v>48</v>
      </c>
    </row>
    <row r="20" spans="1:35" s="26" customFormat="1" ht="21" customHeight="1" thickBot="1" x14ac:dyDescent="0.25">
      <c r="A20" s="27"/>
      <c r="B20" s="27"/>
      <c r="C20" s="28"/>
      <c r="D20" s="131" t="str">
        <f t="shared" si="2"/>
        <v/>
      </c>
      <c r="E20" s="132"/>
      <c r="F20" s="133"/>
      <c r="G20" s="82"/>
      <c r="H20" s="88" t="str">
        <f t="shared" si="3"/>
        <v/>
      </c>
      <c r="I20" s="88" t="str">
        <f t="shared" si="4"/>
        <v/>
      </c>
      <c r="J20" s="87">
        <f t="shared" si="5"/>
        <v>0</v>
      </c>
      <c r="K20" s="88">
        <f t="shared" si="0"/>
        <v>0</v>
      </c>
      <c r="L20" s="89">
        <f t="shared" si="6"/>
        <v>0</v>
      </c>
      <c r="M20" s="83"/>
      <c r="N20" s="88" t="str">
        <f t="shared" si="7"/>
        <v/>
      </c>
      <c r="O20" s="89" t="str">
        <f t="shared" si="8"/>
        <v/>
      </c>
      <c r="P20" s="88" t="str">
        <f t="shared" si="9"/>
        <v/>
      </c>
      <c r="Q20" s="90">
        <f t="shared" si="10"/>
        <v>0</v>
      </c>
      <c r="R20" s="88" t="str">
        <f t="shared" si="11"/>
        <v/>
      </c>
      <c r="S20" s="87" t="str">
        <f t="shared" si="12"/>
        <v/>
      </c>
      <c r="T20" s="82"/>
      <c r="U20" s="102">
        <f t="shared" si="1"/>
        <v>0</v>
      </c>
      <c r="V20" s="72">
        <f t="shared" si="13"/>
        <v>0</v>
      </c>
      <c r="AA20" s="80">
        <v>0</v>
      </c>
      <c r="AB20" s="80" t="s">
        <v>62</v>
      </c>
      <c r="AH20" s="73">
        <v>44.9</v>
      </c>
      <c r="AI20" s="80" t="s">
        <v>47</v>
      </c>
    </row>
    <row r="21" spans="1:35" s="26" customFormat="1" ht="21" customHeight="1" thickBot="1" x14ac:dyDescent="0.25">
      <c r="A21" s="27"/>
      <c r="B21" s="27"/>
      <c r="C21" s="28"/>
      <c r="D21" s="131" t="str">
        <f t="shared" si="2"/>
        <v/>
      </c>
      <c r="E21" s="132"/>
      <c r="F21" s="133"/>
      <c r="G21" s="82"/>
      <c r="H21" s="88" t="str">
        <f t="shared" si="3"/>
        <v/>
      </c>
      <c r="I21" s="88" t="str">
        <f t="shared" si="4"/>
        <v/>
      </c>
      <c r="J21" s="87">
        <f t="shared" si="5"/>
        <v>0</v>
      </c>
      <c r="K21" s="88">
        <f t="shared" si="0"/>
        <v>0</v>
      </c>
      <c r="L21" s="89">
        <f t="shared" si="6"/>
        <v>0</v>
      </c>
      <c r="M21" s="83"/>
      <c r="N21" s="88" t="str">
        <f t="shared" si="7"/>
        <v/>
      </c>
      <c r="O21" s="89" t="str">
        <f t="shared" si="8"/>
        <v/>
      </c>
      <c r="P21" s="88" t="str">
        <f t="shared" si="9"/>
        <v/>
      </c>
      <c r="Q21" s="90">
        <f t="shared" si="10"/>
        <v>0</v>
      </c>
      <c r="R21" s="88" t="str">
        <f t="shared" si="11"/>
        <v/>
      </c>
      <c r="S21" s="87" t="str">
        <f t="shared" si="12"/>
        <v/>
      </c>
      <c r="T21" s="82"/>
      <c r="U21" s="102">
        <f t="shared" si="1"/>
        <v>0</v>
      </c>
      <c r="V21" s="72">
        <f t="shared" si="13"/>
        <v>0</v>
      </c>
      <c r="AA21" s="73">
        <v>64.900000000000006</v>
      </c>
      <c r="AB21" s="80" t="s">
        <v>62</v>
      </c>
      <c r="AH21" s="80">
        <v>54.9</v>
      </c>
      <c r="AI21" s="73" t="s">
        <v>37</v>
      </c>
    </row>
    <row r="22" spans="1:35" s="26" customFormat="1" ht="21" customHeight="1" thickBot="1" x14ac:dyDescent="0.25">
      <c r="A22" s="27"/>
      <c r="B22" s="27"/>
      <c r="C22" s="28"/>
      <c r="D22" s="131" t="str">
        <f t="shared" si="2"/>
        <v/>
      </c>
      <c r="E22" s="132"/>
      <c r="F22" s="133"/>
      <c r="G22" s="82"/>
      <c r="H22" s="88" t="str">
        <f t="shared" si="3"/>
        <v/>
      </c>
      <c r="I22" s="88" t="str">
        <f t="shared" si="4"/>
        <v/>
      </c>
      <c r="J22" s="87">
        <f t="shared" si="5"/>
        <v>0</v>
      </c>
      <c r="K22" s="88">
        <f t="shared" si="0"/>
        <v>0</v>
      </c>
      <c r="L22" s="89">
        <f t="shared" si="6"/>
        <v>0</v>
      </c>
      <c r="M22" s="83"/>
      <c r="N22" s="88" t="str">
        <f t="shared" si="7"/>
        <v/>
      </c>
      <c r="O22" s="89" t="str">
        <f t="shared" si="8"/>
        <v/>
      </c>
      <c r="P22" s="88" t="str">
        <f t="shared" si="9"/>
        <v/>
      </c>
      <c r="Q22" s="90">
        <f t="shared" si="10"/>
        <v>0</v>
      </c>
      <c r="R22" s="88" t="str">
        <f t="shared" si="11"/>
        <v/>
      </c>
      <c r="S22" s="87" t="str">
        <f t="shared" si="12"/>
        <v/>
      </c>
      <c r="T22" s="82"/>
      <c r="U22" s="102">
        <f t="shared" si="1"/>
        <v>0</v>
      </c>
      <c r="V22" s="72">
        <f t="shared" si="13"/>
        <v>0</v>
      </c>
      <c r="AA22" s="80">
        <v>74.900000000000006</v>
      </c>
      <c r="AB22" s="80" t="s">
        <v>62</v>
      </c>
      <c r="AH22" s="80">
        <v>60</v>
      </c>
      <c r="AI22" s="73" t="s">
        <v>36</v>
      </c>
    </row>
    <row r="23" spans="1:35" s="26" customFormat="1" ht="21" customHeight="1" thickBot="1" x14ac:dyDescent="0.25">
      <c r="A23" s="27"/>
      <c r="B23" s="27"/>
      <c r="C23" s="28"/>
      <c r="D23" s="131" t="str">
        <f t="shared" si="2"/>
        <v/>
      </c>
      <c r="E23" s="132"/>
      <c r="F23" s="133"/>
      <c r="G23" s="82"/>
      <c r="H23" s="88" t="str">
        <f t="shared" si="3"/>
        <v/>
      </c>
      <c r="I23" s="88" t="str">
        <f t="shared" si="4"/>
        <v/>
      </c>
      <c r="J23" s="87">
        <f t="shared" si="5"/>
        <v>0</v>
      </c>
      <c r="K23" s="88">
        <f t="shared" si="0"/>
        <v>0</v>
      </c>
      <c r="L23" s="89">
        <f t="shared" si="6"/>
        <v>0</v>
      </c>
      <c r="M23" s="83"/>
      <c r="N23" s="88" t="str">
        <f t="shared" si="7"/>
        <v/>
      </c>
      <c r="O23" s="89" t="str">
        <f t="shared" si="8"/>
        <v/>
      </c>
      <c r="P23" s="88" t="str">
        <f t="shared" si="9"/>
        <v/>
      </c>
      <c r="Q23" s="90">
        <f t="shared" si="10"/>
        <v>0</v>
      </c>
      <c r="R23" s="88" t="str">
        <f t="shared" si="11"/>
        <v/>
      </c>
      <c r="S23" s="87" t="str">
        <f t="shared" si="12"/>
        <v/>
      </c>
      <c r="T23" s="82"/>
      <c r="U23" s="102">
        <f t="shared" si="1"/>
        <v>0</v>
      </c>
      <c r="V23" s="72">
        <f t="shared" si="13"/>
        <v>0</v>
      </c>
      <c r="AA23" s="80">
        <v>80</v>
      </c>
      <c r="AB23" s="80" t="s">
        <v>62</v>
      </c>
      <c r="AH23" s="76"/>
      <c r="AI23" s="1"/>
    </row>
    <row r="24" spans="1:35" s="26" customFormat="1" ht="21" customHeight="1" thickBot="1" x14ac:dyDescent="0.25">
      <c r="A24" s="27"/>
      <c r="B24" s="27"/>
      <c r="C24" s="28"/>
      <c r="D24" s="131" t="str">
        <f t="shared" si="2"/>
        <v/>
      </c>
      <c r="E24" s="132"/>
      <c r="F24" s="133"/>
      <c r="G24" s="82"/>
      <c r="H24" s="88" t="str">
        <f t="shared" si="3"/>
        <v/>
      </c>
      <c r="I24" s="88" t="str">
        <f t="shared" si="4"/>
        <v/>
      </c>
      <c r="J24" s="87">
        <f t="shared" si="5"/>
        <v>0</v>
      </c>
      <c r="K24" s="88">
        <f t="shared" si="0"/>
        <v>0</v>
      </c>
      <c r="L24" s="89">
        <f t="shared" si="6"/>
        <v>0</v>
      </c>
      <c r="M24" s="83"/>
      <c r="N24" s="88" t="str">
        <f t="shared" si="7"/>
        <v/>
      </c>
      <c r="O24" s="89" t="str">
        <f t="shared" si="8"/>
        <v/>
      </c>
      <c r="P24" s="88" t="str">
        <f t="shared" si="9"/>
        <v/>
      </c>
      <c r="Q24" s="90">
        <f t="shared" si="10"/>
        <v>0</v>
      </c>
      <c r="R24" s="88" t="str">
        <f t="shared" si="11"/>
        <v/>
      </c>
      <c r="S24" s="87" t="str">
        <f t="shared" si="12"/>
        <v/>
      </c>
      <c r="T24" s="82"/>
      <c r="U24" s="102">
        <f t="shared" si="1"/>
        <v>0</v>
      </c>
      <c r="V24" s="72">
        <f t="shared" si="13"/>
        <v>0</v>
      </c>
      <c r="AA24" s="76"/>
      <c r="AB24" s="1"/>
      <c r="AH24" s="117" t="s">
        <v>51</v>
      </c>
      <c r="AI24" s="118"/>
    </row>
    <row r="25" spans="1:35" s="26" customFormat="1" ht="21" customHeight="1" thickBot="1" x14ac:dyDescent="0.25">
      <c r="A25" s="84"/>
      <c r="B25" s="84"/>
      <c r="C25" s="28"/>
      <c r="D25" s="131" t="str">
        <f t="shared" si="2"/>
        <v/>
      </c>
      <c r="E25" s="132"/>
      <c r="F25" s="133"/>
      <c r="G25" s="82"/>
      <c r="H25" s="88" t="str">
        <f t="shared" si="3"/>
        <v/>
      </c>
      <c r="I25" s="88" t="str">
        <f t="shared" si="4"/>
        <v/>
      </c>
      <c r="J25" s="87">
        <f t="shared" si="5"/>
        <v>0</v>
      </c>
      <c r="K25" s="88">
        <f t="shared" si="0"/>
        <v>0</v>
      </c>
      <c r="L25" s="89">
        <f t="shared" si="6"/>
        <v>0</v>
      </c>
      <c r="M25" s="83"/>
      <c r="N25" s="88" t="str">
        <f t="shared" si="7"/>
        <v/>
      </c>
      <c r="O25" s="89" t="str">
        <f t="shared" si="8"/>
        <v/>
      </c>
      <c r="P25" s="88" t="str">
        <f t="shared" si="9"/>
        <v/>
      </c>
      <c r="Q25" s="90">
        <f t="shared" si="10"/>
        <v>0</v>
      </c>
      <c r="R25" s="88" t="str">
        <f t="shared" si="11"/>
        <v/>
      </c>
      <c r="S25" s="87" t="str">
        <f t="shared" si="12"/>
        <v/>
      </c>
      <c r="T25" s="85"/>
      <c r="U25" s="102">
        <f t="shared" si="1"/>
        <v>0</v>
      </c>
      <c r="V25" s="72">
        <f t="shared" si="13"/>
        <v>0</v>
      </c>
      <c r="AA25" s="117" t="s">
        <v>52</v>
      </c>
      <c r="AB25" s="118"/>
      <c r="AH25" s="73">
        <v>0</v>
      </c>
      <c r="AI25" s="80" t="s">
        <v>48</v>
      </c>
    </row>
    <row r="26" spans="1:35" s="19" customFormat="1" ht="19.5" customHeight="1" thickBot="1" x14ac:dyDescent="0.25">
      <c r="A26" s="58"/>
      <c r="B26" s="42"/>
      <c r="C26" s="43"/>
      <c r="D26" s="43"/>
      <c r="E26" s="44"/>
      <c r="F26" s="44"/>
      <c r="G26" s="45"/>
      <c r="H26" s="46"/>
      <c r="I26" s="101" t="str">
        <f t="shared" ref="I26" si="14">IF(V66=0,"",V66)</f>
        <v/>
      </c>
      <c r="J26" s="64"/>
      <c r="K26" s="46"/>
      <c r="L26" s="47"/>
      <c r="M26" s="46"/>
      <c r="N26" s="47"/>
      <c r="O26" s="48"/>
      <c r="P26" s="48"/>
      <c r="Q26" s="48"/>
      <c r="R26" s="48"/>
      <c r="S26" s="137" t="s">
        <v>0</v>
      </c>
      <c r="T26" s="138"/>
      <c r="U26" s="139"/>
      <c r="V26" s="72">
        <f t="shared" si="13"/>
        <v>0</v>
      </c>
      <c r="AA26" s="73">
        <v>0</v>
      </c>
      <c r="AB26" s="80" t="s">
        <v>62</v>
      </c>
      <c r="AH26" s="73">
        <v>64.900000000000006</v>
      </c>
      <c r="AI26" s="80" t="s">
        <v>47</v>
      </c>
    </row>
    <row r="27" spans="1:35" s="26" customFormat="1" ht="19.5" customHeight="1" thickBot="1" x14ac:dyDescent="0.25">
      <c r="A27" s="59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6"/>
      <c r="V27" s="72">
        <f t="shared" si="13"/>
        <v>0</v>
      </c>
      <c r="AA27" s="73">
        <v>84.9</v>
      </c>
      <c r="AB27" s="80" t="s">
        <v>62</v>
      </c>
      <c r="AH27" s="80">
        <v>74.900000000000006</v>
      </c>
      <c r="AI27" s="73" t="s">
        <v>37</v>
      </c>
    </row>
    <row r="28" spans="1:35" s="26" customFormat="1" ht="19.5" customHeight="1" x14ac:dyDescent="0.2">
      <c r="A28" s="60"/>
      <c r="B28" s="11"/>
      <c r="C28" s="20"/>
      <c r="D28" s="20"/>
      <c r="E28" s="22"/>
      <c r="F28" s="22"/>
      <c r="G28" s="21"/>
      <c r="H28" s="20"/>
      <c r="I28" s="20"/>
      <c r="J28" s="20"/>
      <c r="K28" s="20"/>
      <c r="L28" s="18"/>
      <c r="M28" s="19"/>
      <c r="N28" s="18"/>
      <c r="O28" s="17"/>
      <c r="P28" s="17"/>
      <c r="Q28" s="17"/>
      <c r="R28" s="17"/>
      <c r="S28" s="23"/>
      <c r="T28" s="17"/>
      <c r="U28" s="16"/>
      <c r="V28" s="72">
        <f t="shared" si="13"/>
        <v>0</v>
      </c>
      <c r="AA28" s="80">
        <v>94.9</v>
      </c>
      <c r="AB28" s="80" t="s">
        <v>62</v>
      </c>
      <c r="AH28" s="80">
        <v>80</v>
      </c>
      <c r="AI28" s="73" t="s">
        <v>36</v>
      </c>
    </row>
    <row r="29" spans="1:35" s="25" customFormat="1" ht="17.25" customHeight="1" x14ac:dyDescent="0.2">
      <c r="A29" s="60"/>
      <c r="B29" s="11"/>
      <c r="C29" s="20"/>
      <c r="D29" s="20"/>
      <c r="E29" s="22"/>
      <c r="F29" s="22"/>
      <c r="G29" s="21"/>
      <c r="H29" s="20"/>
      <c r="I29" s="20"/>
      <c r="J29" s="20"/>
      <c r="K29" s="20"/>
      <c r="L29" s="18"/>
      <c r="M29" s="19"/>
      <c r="N29" s="18"/>
      <c r="O29" s="17"/>
      <c r="P29" s="17"/>
      <c r="Q29" s="17"/>
      <c r="R29" s="17"/>
      <c r="S29" s="23"/>
      <c r="T29" s="17"/>
      <c r="U29" s="16"/>
      <c r="AA29" s="80">
        <v>100</v>
      </c>
      <c r="AB29" s="80" t="s">
        <v>62</v>
      </c>
      <c r="AH29" s="76"/>
      <c r="AI29" s="1"/>
    </row>
    <row r="30" spans="1:35" s="24" customFormat="1" ht="20.25" customHeight="1" x14ac:dyDescent="0.2">
      <c r="A30" s="60"/>
      <c r="B30" s="11"/>
      <c r="C30" s="20"/>
      <c r="D30" s="20"/>
      <c r="E30" s="22"/>
      <c r="F30" s="22"/>
      <c r="G30" s="21"/>
      <c r="H30" s="20"/>
      <c r="I30" s="20"/>
      <c r="J30" s="20"/>
      <c r="K30" s="20"/>
      <c r="L30" s="18"/>
      <c r="M30" s="19"/>
      <c r="N30" s="18"/>
      <c r="O30" s="17"/>
      <c r="P30" s="17"/>
      <c r="Q30" s="17"/>
      <c r="R30" s="17"/>
      <c r="S30" s="23"/>
      <c r="T30" s="17"/>
      <c r="U30" s="16"/>
      <c r="AA30" s="76"/>
      <c r="AB30" s="1"/>
      <c r="AH30" s="117" t="s">
        <v>52</v>
      </c>
      <c r="AI30" s="118"/>
    </row>
    <row r="31" spans="1:35" ht="14.1" customHeight="1" x14ac:dyDescent="0.2">
      <c r="A31" s="60"/>
      <c r="B31" s="11"/>
      <c r="C31" s="20"/>
      <c r="D31" s="20"/>
      <c r="E31" s="22"/>
      <c r="F31" s="22"/>
      <c r="G31" s="21"/>
      <c r="H31" s="20"/>
      <c r="I31" s="20"/>
      <c r="J31" s="20"/>
      <c r="K31" s="20"/>
      <c r="L31" s="18"/>
      <c r="M31" s="19"/>
      <c r="N31" s="18"/>
      <c r="O31" s="17"/>
      <c r="P31" s="17"/>
      <c r="Q31" s="17"/>
      <c r="R31" s="17"/>
      <c r="S31" s="23"/>
      <c r="T31" s="17"/>
      <c r="U31" s="16"/>
      <c r="AA31" s="117" t="s">
        <v>52</v>
      </c>
      <c r="AB31" s="118"/>
      <c r="AH31" s="73">
        <v>0</v>
      </c>
      <c r="AI31" s="80" t="s">
        <v>48</v>
      </c>
    </row>
    <row r="32" spans="1:35" ht="12" customHeight="1" x14ac:dyDescent="0.2">
      <c r="A32" s="61"/>
      <c r="B32" s="65"/>
      <c r="C32" s="66"/>
      <c r="D32" s="66"/>
      <c r="E32" s="67"/>
      <c r="F32" s="67"/>
      <c r="G32" s="68"/>
      <c r="H32" s="66"/>
      <c r="I32" s="66"/>
      <c r="J32" s="66"/>
      <c r="K32" s="66"/>
      <c r="L32" s="69"/>
      <c r="M32" s="70"/>
      <c r="N32" s="69"/>
      <c r="O32" s="37"/>
      <c r="P32" s="37"/>
      <c r="Q32" s="37"/>
      <c r="R32" s="37"/>
      <c r="S32" s="71"/>
      <c r="T32" s="37"/>
      <c r="U32" s="49"/>
      <c r="AA32" s="73">
        <v>0</v>
      </c>
      <c r="AB32" s="80" t="s">
        <v>62</v>
      </c>
      <c r="AH32" s="73">
        <v>84.9</v>
      </c>
      <c r="AI32" s="80" t="s">
        <v>47</v>
      </c>
    </row>
    <row r="33" spans="1:35" ht="12" customHeight="1" x14ac:dyDescent="0.2">
      <c r="A33" s="60"/>
      <c r="B33" s="11"/>
      <c r="C33" s="20"/>
      <c r="D33" s="20"/>
      <c r="E33" s="22"/>
      <c r="F33" s="22"/>
      <c r="G33" s="21"/>
      <c r="H33" s="20"/>
      <c r="I33" s="20"/>
      <c r="J33" s="20"/>
      <c r="K33" s="20"/>
      <c r="L33" s="18"/>
      <c r="M33" s="19"/>
      <c r="N33" s="18"/>
      <c r="O33" s="17"/>
      <c r="P33" s="17"/>
      <c r="Q33" s="17"/>
      <c r="R33" s="17"/>
      <c r="S33" s="17"/>
      <c r="T33" s="17"/>
      <c r="U33" s="16"/>
      <c r="AA33" s="73">
        <v>84.9</v>
      </c>
      <c r="AB33" s="80" t="s">
        <v>62</v>
      </c>
      <c r="AH33" s="80">
        <v>94.9</v>
      </c>
      <c r="AI33" s="73" t="s">
        <v>37</v>
      </c>
    </row>
    <row r="34" spans="1:35" ht="12" customHeight="1" x14ac:dyDescent="0.2">
      <c r="A34" s="39" t="s">
        <v>5</v>
      </c>
      <c r="B34" s="41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40"/>
      <c r="U34" s="12"/>
      <c r="AA34" s="80">
        <v>94.9</v>
      </c>
      <c r="AB34" s="80" t="s">
        <v>62</v>
      </c>
      <c r="AH34" s="80">
        <v>100</v>
      </c>
      <c r="AI34" s="73" t="s">
        <v>36</v>
      </c>
    </row>
    <row r="35" spans="1:35" ht="12" customHeight="1" x14ac:dyDescent="0.2">
      <c r="A35" s="39" t="s">
        <v>65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5"/>
      <c r="U35" s="6"/>
      <c r="AA35" s="80">
        <v>100</v>
      </c>
      <c r="AB35" s="80" t="s">
        <v>62</v>
      </c>
      <c r="AH35" s="76"/>
    </row>
    <row r="36" spans="1:35" ht="13.5" customHeight="1" x14ac:dyDescent="0.2">
      <c r="A36" s="39" t="s">
        <v>69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6"/>
      <c r="AH36" s="26"/>
      <c r="AI36" s="26"/>
    </row>
    <row r="37" spans="1:35" ht="12.75" customHeight="1" x14ac:dyDescent="0.2">
      <c r="A37" s="134" t="s">
        <v>63</v>
      </c>
      <c r="B37" s="135"/>
      <c r="C37" s="135"/>
      <c r="D37" s="135"/>
      <c r="E37" s="135"/>
      <c r="F37" s="135"/>
      <c r="G37" s="135"/>
      <c r="H37" s="135"/>
      <c r="I37" s="136"/>
      <c r="J37" s="134" t="s">
        <v>28</v>
      </c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6"/>
      <c r="AH37" s="73"/>
      <c r="AI37" s="80"/>
    </row>
    <row r="38" spans="1:35" ht="14.1" customHeight="1" x14ac:dyDescent="0.2">
      <c r="A38" s="33"/>
      <c r="B38" s="2" t="s">
        <v>59</v>
      </c>
      <c r="C38" s="2"/>
      <c r="D38" s="51"/>
      <c r="E38" s="50"/>
      <c r="F38" s="50"/>
      <c r="G38" s="52"/>
      <c r="H38" s="52"/>
      <c r="I38" s="53"/>
      <c r="J38" s="33"/>
      <c r="K38" s="2"/>
      <c r="L38" s="54"/>
      <c r="M38" s="32"/>
      <c r="N38" s="32"/>
      <c r="O38" s="32"/>
      <c r="P38" s="32"/>
      <c r="Q38" s="32"/>
      <c r="R38" s="32"/>
      <c r="S38" s="32"/>
      <c r="T38" s="32"/>
      <c r="U38" s="55"/>
      <c r="AH38" s="73"/>
      <c r="AI38" s="80"/>
    </row>
    <row r="39" spans="1:35" ht="14.1" customHeight="1" x14ac:dyDescent="0.2">
      <c r="A39" s="7" t="s">
        <v>29</v>
      </c>
      <c r="B39" s="128" t="s">
        <v>30</v>
      </c>
      <c r="C39" s="128"/>
      <c r="D39" s="128"/>
      <c r="E39" s="128"/>
      <c r="F39" s="128"/>
      <c r="G39" s="128"/>
      <c r="H39" s="128"/>
      <c r="I39" s="103"/>
      <c r="J39" s="39"/>
      <c r="K39" s="1" t="s">
        <v>29</v>
      </c>
      <c r="L39" s="10"/>
      <c r="M39" s="9"/>
      <c r="N39" s="9"/>
      <c r="O39" s="9"/>
      <c r="P39" s="9"/>
      <c r="Q39" s="9"/>
      <c r="R39" s="9"/>
      <c r="S39" s="9"/>
      <c r="T39" s="8"/>
      <c r="U39" s="6"/>
      <c r="AH39" s="80"/>
      <c r="AI39" s="73"/>
    </row>
    <row r="40" spans="1:35" ht="12.75" customHeight="1" x14ac:dyDescent="0.2">
      <c r="A40" s="7"/>
      <c r="B40" s="129" t="s">
        <v>60</v>
      </c>
      <c r="C40" s="129"/>
      <c r="D40" s="129"/>
      <c r="E40" s="129"/>
      <c r="F40" s="129"/>
      <c r="G40" s="129"/>
      <c r="H40" s="129"/>
      <c r="I40" s="104"/>
      <c r="J40" s="39"/>
      <c r="K40" s="10"/>
      <c r="L40" s="10"/>
      <c r="M40" s="9"/>
      <c r="N40" s="9"/>
      <c r="O40" s="9"/>
      <c r="P40" s="9"/>
      <c r="Q40" s="9"/>
      <c r="R40" s="9"/>
      <c r="S40" s="9"/>
      <c r="T40" s="8"/>
      <c r="U40" s="6"/>
      <c r="AH40" s="80"/>
      <c r="AI40" s="73"/>
    </row>
    <row r="41" spans="1:35" ht="14.1" customHeight="1" x14ac:dyDescent="0.2">
      <c r="A41" s="56"/>
      <c r="B41" s="4"/>
      <c r="C41" s="4"/>
      <c r="D41" s="4"/>
      <c r="E41" s="4"/>
      <c r="F41" s="4"/>
      <c r="G41" s="4"/>
      <c r="H41" s="4"/>
      <c r="I41" s="38"/>
      <c r="J41" s="5"/>
      <c r="K41" s="4"/>
      <c r="L41" s="4"/>
      <c r="M41" s="4"/>
      <c r="N41" s="4"/>
      <c r="O41" s="4"/>
      <c r="P41" s="4"/>
      <c r="Q41" s="4"/>
      <c r="R41" s="4"/>
      <c r="S41" s="4"/>
      <c r="T41" s="4"/>
      <c r="U41" s="3"/>
    </row>
    <row r="42" spans="1:35" ht="14.1" customHeight="1" x14ac:dyDescent="0.2">
      <c r="A42" s="119" t="s">
        <v>72</v>
      </c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1"/>
    </row>
    <row r="43" spans="1:35" ht="10.5" customHeight="1" x14ac:dyDescent="0.2">
      <c r="A43" s="122" t="s">
        <v>25</v>
      </c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4"/>
    </row>
    <row r="44" spans="1:35" ht="15" customHeight="1" x14ac:dyDescent="0.2">
      <c r="A44" s="109" t="s">
        <v>66</v>
      </c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2"/>
    </row>
    <row r="45" spans="1:35" x14ac:dyDescent="0.2">
      <c r="A45" s="130" t="s">
        <v>64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</row>
    <row r="46" spans="1:35" x14ac:dyDescent="0.2">
      <c r="I46" s="73" t="s">
        <v>46</v>
      </c>
      <c r="J46" s="125" t="s">
        <v>32</v>
      </c>
      <c r="K46" s="126"/>
      <c r="L46" s="126"/>
      <c r="M46" s="127"/>
      <c r="O46" s="125" t="s">
        <v>33</v>
      </c>
      <c r="P46" s="126"/>
      <c r="Q46" s="127"/>
      <c r="S46" s="73" t="s">
        <v>39</v>
      </c>
      <c r="T46" s="73" t="s">
        <v>40</v>
      </c>
    </row>
    <row r="47" spans="1:35" x14ac:dyDescent="0.2">
      <c r="I47" s="79"/>
      <c r="J47" s="93"/>
      <c r="K47" s="57"/>
      <c r="L47" s="57"/>
      <c r="M47" s="95"/>
      <c r="N47" s="96"/>
      <c r="O47" s="74"/>
      <c r="P47" s="74"/>
      <c r="Q47" s="96"/>
      <c r="R47" s="95"/>
      <c r="S47" s="96"/>
      <c r="T47" s="96"/>
    </row>
    <row r="48" spans="1:35" x14ac:dyDescent="0.2">
      <c r="I48" s="79"/>
      <c r="J48" s="57"/>
      <c r="K48" s="57"/>
      <c r="L48" s="57"/>
      <c r="M48" s="95"/>
      <c r="N48" s="96"/>
      <c r="O48" s="74"/>
      <c r="P48" s="74"/>
      <c r="Q48" s="96"/>
      <c r="R48" s="95"/>
      <c r="S48" s="96"/>
      <c r="T48" s="96"/>
    </row>
    <row r="49" spans="9:23" x14ac:dyDescent="0.2">
      <c r="I49" s="79"/>
      <c r="J49" s="57"/>
      <c r="K49" s="57"/>
      <c r="L49" s="57"/>
      <c r="M49" s="95"/>
      <c r="N49" s="96"/>
      <c r="O49" s="74"/>
      <c r="P49" s="74"/>
      <c r="Q49" s="96"/>
      <c r="R49" s="95"/>
      <c r="S49" s="96"/>
      <c r="T49" s="96"/>
      <c r="V49" s="73" t="s">
        <v>41</v>
      </c>
      <c r="W49" s="73" t="s">
        <v>42</v>
      </c>
    </row>
    <row r="50" spans="9:23" x14ac:dyDescent="0.2">
      <c r="I50" s="79"/>
      <c r="J50" s="57"/>
      <c r="K50" s="57"/>
      <c r="L50" s="57"/>
      <c r="M50" s="95"/>
      <c r="N50" s="96"/>
      <c r="O50" s="74"/>
      <c r="P50" s="74"/>
      <c r="Q50" s="96"/>
      <c r="R50" s="95"/>
      <c r="S50" s="96"/>
      <c r="T50" s="96"/>
      <c r="V50" s="94">
        <f>+(J47+K47+L47)/3</f>
        <v>0</v>
      </c>
      <c r="W50" s="94">
        <f>+(O47+P47+Q47)/3</f>
        <v>0</v>
      </c>
    </row>
    <row r="51" spans="9:23" x14ac:dyDescent="0.2">
      <c r="I51" s="79"/>
      <c r="J51" s="57"/>
      <c r="K51" s="57"/>
      <c r="L51" s="57"/>
      <c r="M51" s="95"/>
      <c r="N51" s="96"/>
      <c r="O51" s="74"/>
      <c r="P51" s="74"/>
      <c r="Q51" s="96"/>
      <c r="R51" s="95"/>
      <c r="S51" s="96"/>
      <c r="T51" s="96"/>
      <c r="V51" s="94">
        <f t="shared" ref="V51:V65" si="15">+(J48+K48+L48)/3</f>
        <v>0</v>
      </c>
      <c r="W51" s="94">
        <f t="shared" ref="W51:W65" si="16">+(O48+P48+Q48)/3</f>
        <v>0</v>
      </c>
    </row>
    <row r="52" spans="9:23" x14ac:dyDescent="0.2">
      <c r="I52" s="79"/>
      <c r="J52" s="57"/>
      <c r="K52" s="57"/>
      <c r="L52" s="57"/>
      <c r="M52" s="95"/>
      <c r="N52" s="96"/>
      <c r="O52" s="74"/>
      <c r="P52" s="74"/>
      <c r="Q52" s="96"/>
      <c r="R52" s="95"/>
      <c r="S52" s="96"/>
      <c r="T52" s="96"/>
      <c r="V52" s="94">
        <f t="shared" si="15"/>
        <v>0</v>
      </c>
      <c r="W52" s="94">
        <f t="shared" si="16"/>
        <v>0</v>
      </c>
    </row>
    <row r="53" spans="9:23" x14ac:dyDescent="0.2">
      <c r="I53" s="79"/>
      <c r="J53" s="57"/>
      <c r="K53" s="57"/>
      <c r="L53" s="57"/>
      <c r="M53" s="95"/>
      <c r="N53" s="96"/>
      <c r="O53" s="74"/>
      <c r="P53" s="74"/>
      <c r="Q53" s="96"/>
      <c r="R53" s="95"/>
      <c r="S53" s="96"/>
      <c r="T53" s="96"/>
      <c r="V53" s="94">
        <f t="shared" si="15"/>
        <v>0</v>
      </c>
      <c r="W53" s="94">
        <f t="shared" si="16"/>
        <v>0</v>
      </c>
    </row>
    <row r="54" spans="9:23" x14ac:dyDescent="0.2">
      <c r="I54" s="79"/>
      <c r="J54" s="57"/>
      <c r="K54" s="57"/>
      <c r="L54" s="57"/>
      <c r="M54" s="95"/>
      <c r="N54" s="96"/>
      <c r="O54" s="74"/>
      <c r="P54" s="74"/>
      <c r="Q54" s="96"/>
      <c r="R54" s="95"/>
      <c r="S54" s="96"/>
      <c r="T54" s="96"/>
      <c r="V54" s="94">
        <f t="shared" si="15"/>
        <v>0</v>
      </c>
      <c r="W54" s="94">
        <f t="shared" si="16"/>
        <v>0</v>
      </c>
    </row>
    <row r="55" spans="9:23" x14ac:dyDescent="0.2">
      <c r="I55" s="79"/>
      <c r="J55" s="57"/>
      <c r="K55" s="57"/>
      <c r="L55" s="57"/>
      <c r="M55" s="95"/>
      <c r="N55" s="96"/>
      <c r="O55" s="74"/>
      <c r="P55" s="74"/>
      <c r="Q55" s="96"/>
      <c r="R55" s="95"/>
      <c r="S55" s="96"/>
      <c r="T55" s="96"/>
      <c r="V55" s="94">
        <f t="shared" si="15"/>
        <v>0</v>
      </c>
      <c r="W55" s="94">
        <f t="shared" si="16"/>
        <v>0</v>
      </c>
    </row>
    <row r="56" spans="9:23" x14ac:dyDescent="0.2">
      <c r="I56" s="79"/>
      <c r="J56" s="57"/>
      <c r="K56" s="57"/>
      <c r="L56" s="57"/>
      <c r="M56" s="95"/>
      <c r="N56" s="96"/>
      <c r="O56" s="74"/>
      <c r="P56" s="74"/>
      <c r="Q56" s="96"/>
      <c r="R56" s="95"/>
      <c r="S56" s="96"/>
      <c r="T56" s="96"/>
      <c r="V56" s="94">
        <f t="shared" si="15"/>
        <v>0</v>
      </c>
      <c r="W56" s="94">
        <f t="shared" si="16"/>
        <v>0</v>
      </c>
    </row>
    <row r="57" spans="9:23" x14ac:dyDescent="0.2">
      <c r="I57" s="79"/>
      <c r="J57" s="57"/>
      <c r="K57" s="57"/>
      <c r="L57" s="57"/>
      <c r="M57" s="95"/>
      <c r="N57" s="96"/>
      <c r="O57" s="74"/>
      <c r="P57" s="74"/>
      <c r="Q57" s="96"/>
      <c r="R57" s="95"/>
      <c r="S57" s="96"/>
      <c r="T57" s="96"/>
      <c r="V57" s="94">
        <f t="shared" si="15"/>
        <v>0</v>
      </c>
      <c r="W57" s="94">
        <f t="shared" si="16"/>
        <v>0</v>
      </c>
    </row>
    <row r="58" spans="9:23" x14ac:dyDescent="0.2">
      <c r="I58" s="79"/>
      <c r="J58" s="57"/>
      <c r="K58" s="57"/>
      <c r="L58" s="57"/>
      <c r="M58" s="95"/>
      <c r="N58" s="96"/>
      <c r="O58" s="74"/>
      <c r="P58" s="74"/>
      <c r="Q58" s="96"/>
      <c r="R58" s="95"/>
      <c r="S58" s="96"/>
      <c r="T58" s="96"/>
      <c r="V58" s="94">
        <f t="shared" si="15"/>
        <v>0</v>
      </c>
      <c r="W58" s="94">
        <f t="shared" si="16"/>
        <v>0</v>
      </c>
    </row>
    <row r="59" spans="9:23" x14ac:dyDescent="0.2">
      <c r="I59" s="79"/>
      <c r="J59" s="57"/>
      <c r="K59" s="57"/>
      <c r="L59" s="57"/>
      <c r="M59" s="95"/>
      <c r="N59" s="96"/>
      <c r="O59" s="74"/>
      <c r="P59" s="74"/>
      <c r="Q59" s="96"/>
      <c r="R59" s="95"/>
      <c r="S59" s="96"/>
      <c r="T59" s="96"/>
      <c r="V59" s="94">
        <f t="shared" si="15"/>
        <v>0</v>
      </c>
      <c r="W59" s="94">
        <f t="shared" si="16"/>
        <v>0</v>
      </c>
    </row>
    <row r="60" spans="9:23" x14ac:dyDescent="0.2">
      <c r="I60" s="79"/>
      <c r="J60" s="57"/>
      <c r="K60" s="57"/>
      <c r="L60" s="57"/>
      <c r="M60" s="95"/>
      <c r="N60" s="96"/>
      <c r="O60" s="74"/>
      <c r="P60" s="74"/>
      <c r="Q60" s="96"/>
      <c r="R60" s="95"/>
      <c r="S60" s="96"/>
      <c r="T60" s="96"/>
      <c r="V60" s="94">
        <f t="shared" si="15"/>
        <v>0</v>
      </c>
      <c r="W60" s="94">
        <f t="shared" si="16"/>
        <v>0</v>
      </c>
    </row>
    <row r="61" spans="9:23" x14ac:dyDescent="0.2">
      <c r="I61" s="79"/>
      <c r="J61" s="57"/>
      <c r="K61" s="57"/>
      <c r="L61" s="57"/>
      <c r="M61" s="95"/>
      <c r="N61" s="96"/>
      <c r="O61" s="74"/>
      <c r="P61" s="74"/>
      <c r="Q61" s="96"/>
      <c r="R61" s="95"/>
      <c r="S61" s="96"/>
      <c r="T61" s="96"/>
      <c r="V61" s="94">
        <f t="shared" si="15"/>
        <v>0</v>
      </c>
      <c r="W61" s="94">
        <f t="shared" si="16"/>
        <v>0</v>
      </c>
    </row>
    <row r="62" spans="9:23" x14ac:dyDescent="0.2">
      <c r="I62" s="79"/>
      <c r="J62" s="57"/>
      <c r="K62" s="57"/>
      <c r="L62" s="57"/>
      <c r="M62" s="95"/>
      <c r="N62" s="96"/>
      <c r="O62" s="74"/>
      <c r="P62" s="74"/>
      <c r="Q62" s="96"/>
      <c r="R62" s="95"/>
      <c r="S62" s="96"/>
      <c r="T62" s="96"/>
      <c r="V62" s="94">
        <f t="shared" si="15"/>
        <v>0</v>
      </c>
      <c r="W62" s="94">
        <f t="shared" si="16"/>
        <v>0</v>
      </c>
    </row>
    <row r="63" spans="9:23" x14ac:dyDescent="0.2">
      <c r="V63" s="94">
        <f t="shared" si="15"/>
        <v>0</v>
      </c>
      <c r="W63" s="94">
        <f t="shared" si="16"/>
        <v>0</v>
      </c>
    </row>
    <row r="64" spans="9:23" x14ac:dyDescent="0.2">
      <c r="V64" s="94">
        <f t="shared" si="15"/>
        <v>0</v>
      </c>
      <c r="W64" s="94">
        <f t="shared" si="16"/>
        <v>0</v>
      </c>
    </row>
    <row r="65" spans="22:23" x14ac:dyDescent="0.2">
      <c r="V65" s="94">
        <f t="shared" si="15"/>
        <v>0</v>
      </c>
      <c r="W65" s="94">
        <f t="shared" si="16"/>
        <v>0</v>
      </c>
    </row>
  </sheetData>
  <sheetProtection formatCells="0" formatColumns="0" formatRows="0"/>
  <mergeCells count="59">
    <mergeCell ref="AA31:AB31"/>
    <mergeCell ref="Q8:Q9"/>
    <mergeCell ref="AA7:AB7"/>
    <mergeCell ref="AA13:AB13"/>
    <mergeCell ref="V11:V12"/>
    <mergeCell ref="U8:U9"/>
    <mergeCell ref="T8:T9"/>
    <mergeCell ref="R8:R9"/>
    <mergeCell ref="S8:S9"/>
    <mergeCell ref="K8:L8"/>
    <mergeCell ref="N8:P8"/>
    <mergeCell ref="A4:U4"/>
    <mergeCell ref="I7:J7"/>
    <mergeCell ref="K7:N7"/>
    <mergeCell ref="T7:U7"/>
    <mergeCell ref="R7:S7"/>
    <mergeCell ref="O7:Q7"/>
    <mergeCell ref="B6:U6"/>
    <mergeCell ref="B7:H7"/>
    <mergeCell ref="C1:R3"/>
    <mergeCell ref="S1:U1"/>
    <mergeCell ref="S2:U2"/>
    <mergeCell ref="S3:U3"/>
    <mergeCell ref="A1:B3"/>
    <mergeCell ref="D14:F14"/>
    <mergeCell ref="D16:F16"/>
    <mergeCell ref="B8:B9"/>
    <mergeCell ref="D11:F11"/>
    <mergeCell ref="D12:F12"/>
    <mergeCell ref="D15:F15"/>
    <mergeCell ref="D10:F10"/>
    <mergeCell ref="D13:F13"/>
    <mergeCell ref="D9:F9"/>
    <mergeCell ref="D8:F8"/>
    <mergeCell ref="D17:F17"/>
    <mergeCell ref="D18:F18"/>
    <mergeCell ref="A37:I37"/>
    <mergeCell ref="J37:U37"/>
    <mergeCell ref="D25:F25"/>
    <mergeCell ref="S26:U26"/>
    <mergeCell ref="D19:F19"/>
    <mergeCell ref="D20:F20"/>
    <mergeCell ref="D23:F23"/>
    <mergeCell ref="D24:F24"/>
    <mergeCell ref="D21:F21"/>
    <mergeCell ref="D22:F22"/>
    <mergeCell ref="A42:U42"/>
    <mergeCell ref="A43:U43"/>
    <mergeCell ref="J46:M46"/>
    <mergeCell ref="O46:Q46"/>
    <mergeCell ref="B39:H39"/>
    <mergeCell ref="B40:H40"/>
    <mergeCell ref="A45:U45"/>
    <mergeCell ref="AH12:AI12"/>
    <mergeCell ref="AH18:AI18"/>
    <mergeCell ref="AH24:AI24"/>
    <mergeCell ref="AH30:AI30"/>
    <mergeCell ref="AA25:AB25"/>
    <mergeCell ref="AA19:AB19"/>
  </mergeCells>
  <conditionalFormatting sqref="J10:J25 L10:L25">
    <cfRule type="cellIs" dxfId="10" priority="4" operator="equal">
      <formula>0</formula>
    </cfRule>
  </conditionalFormatting>
  <conditionalFormatting sqref="K10:K25">
    <cfRule type="cellIs" dxfId="0" priority="2" operator="equal">
      <formula>0</formula>
    </cfRule>
    <cfRule type="cellIs" dxfId="1" priority="3" operator="equal">
      <formula>0</formula>
    </cfRule>
    <cfRule type="cellIs" dxfId="2" priority="1" operator="equal">
      <formula>0</formula>
    </cfRule>
  </conditionalFormatting>
  <conditionalFormatting sqref="Q10:Q25">
    <cfRule type="cellIs" dxfId="9" priority="6" operator="equal">
      <formula>0</formula>
    </cfRule>
  </conditionalFormatting>
  <conditionalFormatting sqref="U10:U25">
    <cfRule type="cellIs" dxfId="8" priority="5" operator="equal">
      <formula>0</formula>
    </cfRule>
  </conditionalFormatting>
  <dataValidations count="1">
    <dataValidation type="list" allowBlank="1" showInputMessage="1" showErrorMessage="1" sqref="A4:U4" xr:uid="{00000000-0002-0000-0000-000000000000}">
      <formula1>$X$2:$X$3</formula1>
    </dataValidation>
  </dataValidations>
  <printOptions horizontalCentered="1" verticalCentered="1"/>
  <pageMargins left="0.19685039370078741" right="0.19685039370078741" top="0.39370078740157483" bottom="0.39370078740157483" header="0" footer="0.31496062992125984"/>
  <pageSetup scale="6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</vt:i4>
      </vt:variant>
    </vt:vector>
  </HeadingPairs>
  <TitlesOfParts>
    <vt:vector size="6" baseType="lpstr">
      <vt:lpstr>PLANTILLA</vt:lpstr>
      <vt:lpstr>PLANTILLA!Área_de_impresión</vt:lpstr>
      <vt:lpstr>CATORCE.</vt:lpstr>
      <vt:lpstr>OTRAS.</vt:lpstr>
      <vt:lpstr>SIETE.</vt:lpstr>
      <vt:lpstr>TRES.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 USER</dc:creator>
  <cp:lastModifiedBy>Usuario 2</cp:lastModifiedBy>
  <cp:lastPrinted>2023-08-26T17:28:56Z</cp:lastPrinted>
  <dcterms:created xsi:type="dcterms:W3CDTF">2005-08-24T19:46:30Z</dcterms:created>
  <dcterms:modified xsi:type="dcterms:W3CDTF">2025-05-14T20:32:29Z</dcterms:modified>
</cp:coreProperties>
</file>