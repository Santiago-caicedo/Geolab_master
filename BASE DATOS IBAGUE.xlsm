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9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Mi unidad\CarpetaProtegida\CarpetaProtegida\CARPETA\ALEXANDRA\ALEXANDRA 2023\CONTABILIDAD\FACTURACION GEOLAB laura\FACTURACION\APLICATIVO FACTURACION\IBAGUE\"/>
    </mc:Choice>
  </mc:AlternateContent>
  <xr:revisionPtr revIDLastSave="0" documentId="13_ncr:1_{289F6551-C09D-433E-AAC0-4C54AD00EDDC}" xr6:coauthVersionLast="40" xr6:coauthVersionMax="47" xr10:uidLastSave="{00000000-0000-0000-0000-000000000000}"/>
  <bookViews>
    <workbookView xWindow="-120" yWindow="-120" windowWidth="29040" windowHeight="15720" tabRatio="733" activeTab="1" xr2:uid="{00000000-000D-0000-FFFF-FFFF00000000}"/>
  </bookViews>
  <sheets>
    <sheet name="LISTA DE PRECIO" sheetId="3" r:id="rId1"/>
    <sheet name="INFORMES OBRAS" sheetId="2" r:id="rId2"/>
    <sheet name="EMPRESAS REGULARES" sheetId="6" r:id="rId3"/>
    <sheet name="LISTA EMPRESAS REGULARES" sheetId="4" r:id="rId4"/>
    <sheet name="EMPRESAS VARIOS OBRAS" sheetId="12" r:id="rId5"/>
    <sheet name="LISTA EMPRESAS VARIOS OBRAS" sheetId="14" r:id="rId6"/>
    <sheet name="CLIENTES" sheetId="16" r:id="rId7"/>
    <sheet name="OBRAS" sheetId="17" r:id="rId8"/>
    <sheet name="BASE FACTURACION" sheetId="15" r:id="rId9"/>
    <sheet name="PIE DE FACTURA" sheetId="13" r:id="rId10"/>
  </sheets>
  <functionGroups builtInGroupCount="19"/>
  <externalReferences>
    <externalReference r:id="rId11"/>
    <externalReference r:id="rId12"/>
    <externalReference r:id="rId13"/>
    <externalReference r:id="rId14"/>
  </externalReferences>
  <definedNames>
    <definedName name="_xlnm._FilterDatabase" localSheetId="6" hidden="1">CLIENTES!$A$5:$N$65</definedName>
    <definedName name="_xlnm._FilterDatabase" localSheetId="1" hidden="1">'INFORMES OBRAS'!$A$1:$J$1083</definedName>
    <definedName name="_xlnm._FilterDatabase" localSheetId="7" hidden="1">OBRAS!$A$5:$N$19</definedName>
    <definedName name="AÑO">[1]!Tabla198[[#All],[AÑOS]]</definedName>
    <definedName name="_xlnm.Print_Area" localSheetId="6">CLIENTES!$A$1:$N$33</definedName>
    <definedName name="BARANOA" localSheetId="6">'[1]LISTA DE PRECIO'!#REF!</definedName>
    <definedName name="BARANOA" localSheetId="7">#REF!</definedName>
    <definedName name="BARANOA">'LISTA DE PRECIO'!#REF!</definedName>
    <definedName name="CIUDAD" localSheetId="6">[1]!Tabla79[CIUDAD]</definedName>
    <definedName name="CIUDAD" localSheetId="7">[2]!Tabla79[CIUDAD]</definedName>
    <definedName name="CIUDAD">#REF!</definedName>
    <definedName name="CODIGO" localSheetId="6">OFFSET('[1]LISTA DE PRECIO'!$A$3,0,0,COUNTA('[1]LISTA DE PRECIO'!$A:$A)+200,1)</definedName>
    <definedName name="CODIGO" localSheetId="7">OFFSET('[2]LISTA DE PRECIO'!$A$3,0,0,COUNTA('[2]LISTA DE PRECIO'!$A:$A)+200,1)</definedName>
    <definedName name="CODIGO">'LISTA DE PRECIO'!#REF!</definedName>
    <definedName name="CODLISTA" localSheetId="6">'[1]LISTA DE PRECIO'!#REF!</definedName>
    <definedName name="CODLISTA" localSheetId="7">#REF!</definedName>
    <definedName name="CODLISTA">'LISTA DE PRECIO'!#REF!</definedName>
    <definedName name="COSTO">IF('[3]4'!$H$23,'[3]4'!$D$6:$D$12,'[3]4'!$F$6:$F$12)</definedName>
    <definedName name="DESCRIPCION" localSheetId="6">'[1]LISTA DE PRECIO'!#REF!</definedName>
    <definedName name="DESCRIPCION" localSheetId="7">#REF!</definedName>
    <definedName name="DESCRIPCION">'LISTA DE PRECIO'!#REF!</definedName>
    <definedName name="EMPRESAS_REGULARES" localSheetId="6">[1]!Tabla1111[EMPRESA]</definedName>
    <definedName name="EMPRESAS_REGULARES" localSheetId="7">[2]!Tabla1111[EMPRESA]</definedName>
    <definedName name="EMPRESAS_REGULARES">Tabla1111[EMPRESA]</definedName>
    <definedName name="EMPRESAS_VARIOS_OBRAS" localSheetId="6">[1]!Tabla11111[[#All],[EMPRESA]]</definedName>
    <definedName name="EMPRESAS_VARIOS_OBRAS" localSheetId="7">[2]!Tabla11111[[#All],[EMPRESA]]</definedName>
    <definedName name="EMPRESAS_VARIOS_OBRAS">Tabla11111[EMPRESA]</definedName>
    <definedName name="FECHAS_CARPETAS" localSheetId="6">[1]!Tabla58[FECHAS CARPETAS]</definedName>
    <definedName name="FECHAS_CARPETAS" localSheetId="7">[2]!Tabla58[FECHAS CARPETAS]</definedName>
    <definedName name="FECHAS_CARPETAS">#REF!</definedName>
    <definedName name="INFORME">'INFORMES OBRAS'!$C$1:$C$1083</definedName>
    <definedName name="MES">[2]LISTAS!$A$4:$A$15</definedName>
    <definedName name="OBRA">'INFORMES OBRAS'!$B$1:$B$1083</definedName>
    <definedName name="OBRAS" localSheetId="6">[1]!Tabla111[CODIGO]</definedName>
    <definedName name="OBRAS" localSheetId="4">#REF!</definedName>
    <definedName name="OBRAS" localSheetId="5">#REF!</definedName>
    <definedName name="OBRAS" localSheetId="7">[2]!Tabla111[CODIGO]</definedName>
    <definedName name="OBRAS">#REF!</definedName>
    <definedName name="RESPONSABLES">OFFSET([4]LISTAS!$E$2,0,0,COUNTA([4]LISTAS!$E:$E),1)</definedName>
    <definedName name="_xlnm.Print_Titles" localSheetId="6">CLIENTES!$1:$5</definedName>
    <definedName name="_xlnm.Print_Titles" localSheetId="7">OBRAS!$1:$5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34" i="2" l="1"/>
  <c r="L1335" i="2"/>
  <c r="L1336" i="2"/>
  <c r="B3" i="3" l="1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AZ3" i="3"/>
  <c r="A3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D302" i="3"/>
  <c r="E302" i="3" s="1"/>
  <c r="D301" i="3"/>
  <c r="E301" i="3" s="1"/>
  <c r="D300" i="3"/>
  <c r="E300" i="3" s="1"/>
  <c r="D299" i="3"/>
  <c r="E299" i="3" s="1"/>
  <c r="E298" i="3"/>
  <c r="D297" i="3"/>
  <c r="E297" i="3" s="1"/>
  <c r="E296" i="3"/>
  <c r="D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D14" i="3"/>
  <c r="E14" i="3" s="1"/>
  <c r="E13" i="3"/>
  <c r="E12" i="3"/>
  <c r="E11" i="3"/>
  <c r="D10" i="3"/>
  <c r="E10" i="3" s="1"/>
  <c r="E9" i="3"/>
  <c r="E8" i="3"/>
  <c r="E7" i="3"/>
  <c r="E6" i="3"/>
  <c r="L1333" i="2" l="1"/>
  <c r="L1332" i="2" l="1"/>
  <c r="L1328" i="2" l="1"/>
  <c r="L1329" i="2"/>
  <c r="L1330" i="2"/>
  <c r="L1331" i="2"/>
  <c r="L1325" i="2" l="1"/>
  <c r="L1326" i="2"/>
  <c r="L1327" i="2"/>
  <c r="L1309" i="2" l="1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293" i="2" l="1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285" i="2" l="1"/>
  <c r="L1286" i="2"/>
  <c r="L1287" i="2"/>
  <c r="L1288" i="2"/>
  <c r="L1289" i="2"/>
  <c r="L1290" i="2"/>
  <c r="L1291" i="2"/>
  <c r="L1292" i="2"/>
  <c r="L1284" i="2" l="1"/>
  <c r="L1279" i="2" l="1"/>
  <c r="L1280" i="2"/>
  <c r="L1281" i="2"/>
  <c r="L1282" i="2"/>
  <c r="L1283" i="2"/>
  <c r="L1273" i="2" l="1"/>
  <c r="L1274" i="2"/>
  <c r="L1275" i="2"/>
  <c r="L1276" i="2"/>
  <c r="L1277" i="2"/>
  <c r="L1278" i="2"/>
  <c r="L1267" i="2" l="1"/>
  <c r="L1268" i="2"/>
  <c r="L1269" i="2"/>
  <c r="L1270" i="2"/>
  <c r="L1271" i="2"/>
  <c r="L1272" i="2"/>
  <c r="L1254" i="2" l="1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50" i="2" l="1"/>
  <c r="L1251" i="2"/>
  <c r="L1252" i="2"/>
  <c r="L1253" i="2"/>
  <c r="L1230" i="2" l="1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24" i="2" l="1"/>
  <c r="L1225" i="2"/>
  <c r="L1226" i="2"/>
  <c r="L1227" i="2"/>
  <c r="L1228" i="2"/>
  <c r="L1229" i="2"/>
  <c r="L1206" i="2" l="1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196" i="2" l="1"/>
  <c r="L1197" i="2"/>
  <c r="L1198" i="2"/>
  <c r="L1199" i="2"/>
  <c r="L1200" i="2"/>
  <c r="L1201" i="2"/>
  <c r="L1202" i="2"/>
  <c r="L1203" i="2"/>
  <c r="L1204" i="2"/>
  <c r="L1205" i="2"/>
  <c r="L1191" i="2" l="1"/>
  <c r="L1192" i="2"/>
  <c r="L1193" i="2"/>
  <c r="L1194" i="2"/>
  <c r="L1195" i="2"/>
  <c r="L1188" i="2" l="1"/>
  <c r="L1189" i="2"/>
  <c r="L1190" i="2"/>
  <c r="L1181" i="2" l="1"/>
  <c r="L1182" i="2"/>
  <c r="L1183" i="2"/>
  <c r="L1184" i="2"/>
  <c r="L1185" i="2"/>
  <c r="L1186" i="2"/>
  <c r="L1187" i="2"/>
  <c r="L1174" i="2" l="1"/>
  <c r="L1175" i="2"/>
  <c r="L1176" i="2"/>
  <c r="L1177" i="2"/>
  <c r="L1178" i="2"/>
  <c r="L1179" i="2"/>
  <c r="L1180" i="2"/>
  <c r="L1173" i="2" l="1"/>
  <c r="L1157" i="2" l="1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56" i="2" l="1"/>
  <c r="L1155" i="2" l="1"/>
  <c r="L1149" i="2" l="1"/>
  <c r="L1150" i="2"/>
  <c r="L1151" i="2"/>
  <c r="L1152" i="2"/>
  <c r="L1153" i="2"/>
  <c r="L1154" i="2"/>
  <c r="L1142" i="2" l="1"/>
  <c r="L1143" i="2"/>
  <c r="L1144" i="2"/>
  <c r="L1145" i="2"/>
  <c r="L1146" i="2"/>
  <c r="L1147" i="2"/>
  <c r="L1148" i="2"/>
  <c r="L1141" i="2" l="1"/>
  <c r="L1125" i="2" l="1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23" i="2" l="1"/>
  <c r="L1124" i="2"/>
  <c r="L1122" i="2" l="1"/>
  <c r="L1114" i="2" l="1"/>
  <c r="L1115" i="2"/>
  <c r="L1116" i="2"/>
  <c r="L1117" i="2"/>
  <c r="L1118" i="2"/>
  <c r="L1119" i="2"/>
  <c r="L1120" i="2"/>
  <c r="L1121" i="2"/>
  <c r="L1078" i="2" l="1"/>
  <c r="L1079" i="2"/>
  <c r="L1080" i="2"/>
  <c r="L1081" i="2"/>
  <c r="L1082" i="2"/>
  <c r="L1083" i="2"/>
  <c r="L1076" i="2" l="1"/>
  <c r="L1077" i="2"/>
  <c r="L1071" i="2" l="1"/>
  <c r="L1072" i="2"/>
  <c r="L1073" i="2"/>
  <c r="L1074" i="2"/>
  <c r="L1075" i="2"/>
  <c r="L1064" i="2" l="1"/>
  <c r="L1065" i="2"/>
  <c r="L1066" i="2"/>
  <c r="L1067" i="2"/>
  <c r="L1068" i="2"/>
  <c r="L1069" i="2"/>
  <c r="L1070" i="2"/>
  <c r="L1053" i="2" l="1"/>
  <c r="L1054" i="2"/>
  <c r="L1055" i="2"/>
  <c r="L1056" i="2"/>
  <c r="L1057" i="2"/>
  <c r="L1058" i="2"/>
  <c r="L1059" i="2"/>
  <c r="L1060" i="2"/>
  <c r="L1061" i="2"/>
  <c r="L1062" i="2"/>
  <c r="L1063" i="2"/>
  <c r="L1051" i="2" l="1"/>
  <c r="L1052" i="2"/>
  <c r="L1046" i="2" l="1"/>
  <c r="L1047" i="2"/>
  <c r="L1048" i="2"/>
  <c r="L1049" i="2"/>
  <c r="L1050" i="2"/>
  <c r="L1039" i="2" l="1"/>
  <c r="L1040" i="2"/>
  <c r="L1041" i="2"/>
  <c r="L1042" i="2"/>
  <c r="L1043" i="2"/>
  <c r="L1044" i="2"/>
  <c r="L1045" i="2"/>
  <c r="L1036" i="2" l="1"/>
  <c r="L1037" i="2"/>
  <c r="L1038" i="2"/>
  <c r="L1031" i="2" l="1"/>
  <c r="L1032" i="2"/>
  <c r="L1033" i="2"/>
  <c r="L1034" i="2"/>
  <c r="L1035" i="2"/>
  <c r="L1029" i="2" l="1"/>
  <c r="L1030" i="2"/>
  <c r="L1022" i="2" l="1"/>
  <c r="L1023" i="2"/>
  <c r="L1024" i="2"/>
  <c r="L1025" i="2"/>
  <c r="L1026" i="2"/>
  <c r="L1027" i="2"/>
  <c r="L1028" i="2"/>
  <c r="L1017" i="2" l="1"/>
  <c r="L1018" i="2"/>
  <c r="L1019" i="2"/>
  <c r="L1020" i="2"/>
  <c r="L1021" i="2"/>
  <c r="L1010" i="2" l="1"/>
  <c r="L1011" i="2"/>
  <c r="L1012" i="2"/>
  <c r="L1013" i="2"/>
  <c r="L1014" i="2"/>
  <c r="L1015" i="2"/>
  <c r="L1016" i="2"/>
  <c r="L995" i="2" l="1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973" i="2" l="1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66" i="2" l="1"/>
  <c r="L967" i="2" l="1"/>
  <c r="L968" i="2"/>
  <c r="L969" i="2"/>
  <c r="L970" i="2"/>
  <c r="L971" i="2"/>
  <c r="L972" i="2"/>
  <c r="L963" i="2" l="1"/>
  <c r="L964" i="2"/>
  <c r="L965" i="2"/>
  <c r="K914" i="2" l="1"/>
  <c r="J914" i="2"/>
  <c r="L914" i="2"/>
  <c r="K962" i="2"/>
  <c r="J962" i="2"/>
  <c r="L962" i="2"/>
  <c r="K961" i="2"/>
  <c r="J961" i="2"/>
  <c r="L961" i="2"/>
  <c r="K959" i="2"/>
  <c r="J959" i="2"/>
  <c r="L959" i="2"/>
  <c r="K944" i="2"/>
  <c r="J944" i="2"/>
  <c r="L944" i="2"/>
  <c r="K942" i="2"/>
  <c r="J942" i="2"/>
  <c r="L942" i="2"/>
  <c r="K932" i="2"/>
  <c r="J932" i="2"/>
  <c r="L932" i="2"/>
  <c r="K928" i="2"/>
  <c r="J928" i="2"/>
  <c r="L928" i="2"/>
  <c r="K925" i="2"/>
  <c r="J925" i="2"/>
  <c r="L925" i="2"/>
  <c r="K919" i="2"/>
  <c r="J919" i="2"/>
  <c r="L919" i="2"/>
  <c r="K960" i="2" l="1"/>
  <c r="J960" i="2"/>
  <c r="L960" i="2"/>
  <c r="K958" i="2"/>
  <c r="J958" i="2"/>
  <c r="L958" i="2"/>
  <c r="K957" i="2"/>
  <c r="J957" i="2"/>
  <c r="L957" i="2"/>
  <c r="K956" i="2"/>
  <c r="J956" i="2"/>
  <c r="L956" i="2"/>
  <c r="K955" i="2"/>
  <c r="J955" i="2"/>
  <c r="L955" i="2"/>
  <c r="K954" i="2"/>
  <c r="J954" i="2"/>
  <c r="L954" i="2"/>
  <c r="K943" i="2"/>
  <c r="J943" i="2"/>
  <c r="L943" i="2"/>
  <c r="K941" i="2"/>
  <c r="J941" i="2"/>
  <c r="L941" i="2"/>
  <c r="K939" i="2"/>
  <c r="J939" i="2"/>
  <c r="L939" i="2"/>
  <c r="K937" i="2"/>
  <c r="J937" i="2"/>
  <c r="L937" i="2"/>
  <c r="K936" i="2"/>
  <c r="J936" i="2"/>
  <c r="L936" i="2"/>
  <c r="K935" i="2"/>
  <c r="J935" i="2"/>
  <c r="L935" i="2"/>
  <c r="K934" i="2"/>
  <c r="J934" i="2"/>
  <c r="L934" i="2"/>
  <c r="K933" i="2"/>
  <c r="J933" i="2"/>
  <c r="L933" i="2"/>
  <c r="K931" i="2"/>
  <c r="J931" i="2"/>
  <c r="L931" i="2"/>
  <c r="K930" i="2"/>
  <c r="J930" i="2"/>
  <c r="L930" i="2"/>
  <c r="K926" i="2"/>
  <c r="J926" i="2"/>
  <c r="L926" i="2"/>
  <c r="K924" i="2"/>
  <c r="J924" i="2"/>
  <c r="L924" i="2"/>
  <c r="K923" i="2"/>
  <c r="J923" i="2"/>
  <c r="L923" i="2"/>
  <c r="K922" i="2"/>
  <c r="J922" i="2"/>
  <c r="L922" i="2"/>
  <c r="K921" i="2"/>
  <c r="J921" i="2"/>
  <c r="L921" i="2"/>
  <c r="K920" i="2"/>
  <c r="J920" i="2"/>
  <c r="L920" i="2"/>
  <c r="K918" i="2"/>
  <c r="J918" i="2"/>
  <c r="L918" i="2"/>
  <c r="K917" i="2"/>
  <c r="J917" i="2"/>
  <c r="L917" i="2"/>
  <c r="K916" i="2"/>
  <c r="J916" i="2"/>
  <c r="L916" i="2"/>
  <c r="K940" i="2" l="1"/>
  <c r="J940" i="2"/>
  <c r="L940" i="2"/>
  <c r="K929" i="2"/>
  <c r="J929" i="2"/>
  <c r="L929" i="2"/>
  <c r="K927" i="2"/>
  <c r="J927" i="2"/>
  <c r="L927" i="2"/>
  <c r="K953" i="2"/>
  <c r="J953" i="2"/>
  <c r="L953" i="2"/>
  <c r="K952" i="2" l="1"/>
  <c r="J952" i="2"/>
  <c r="L952" i="2"/>
  <c r="K951" i="2"/>
  <c r="J951" i="2"/>
  <c r="L951" i="2"/>
  <c r="K950" i="2"/>
  <c r="J950" i="2"/>
  <c r="L950" i="2"/>
  <c r="K949" i="2"/>
  <c r="J949" i="2"/>
  <c r="L949" i="2"/>
  <c r="K948" i="2"/>
  <c r="J948" i="2"/>
  <c r="L948" i="2"/>
  <c r="K947" i="2"/>
  <c r="J947" i="2"/>
  <c r="L947" i="2"/>
  <c r="K946" i="2"/>
  <c r="J946" i="2"/>
  <c r="L946" i="2"/>
  <c r="K945" i="2"/>
  <c r="J945" i="2"/>
  <c r="L945" i="2"/>
  <c r="K938" i="2"/>
  <c r="J938" i="2"/>
  <c r="L938" i="2"/>
  <c r="K915" i="2"/>
  <c r="J915" i="2"/>
  <c r="L915" i="2"/>
  <c r="K912" i="2" l="1"/>
  <c r="J912" i="2"/>
  <c r="L912" i="2"/>
  <c r="K911" i="2"/>
  <c r="J911" i="2"/>
  <c r="L911" i="2"/>
  <c r="K910" i="2"/>
  <c r="J910" i="2"/>
  <c r="L910" i="2"/>
  <c r="K909" i="2"/>
  <c r="J909" i="2"/>
  <c r="L909" i="2"/>
  <c r="K908" i="2"/>
  <c r="J908" i="2"/>
  <c r="L908" i="2"/>
  <c r="K907" i="2"/>
  <c r="J907" i="2"/>
  <c r="L907" i="2"/>
  <c r="K868" i="2" l="1"/>
  <c r="J868" i="2"/>
  <c r="L868" i="2"/>
  <c r="K904" i="2"/>
  <c r="J904" i="2"/>
  <c r="L904" i="2"/>
  <c r="K898" i="2"/>
  <c r="J898" i="2"/>
  <c r="L898" i="2"/>
  <c r="K890" i="2"/>
  <c r="J890" i="2"/>
  <c r="L890" i="2"/>
  <c r="K888" i="2"/>
  <c r="J888" i="2"/>
  <c r="L888" i="2"/>
  <c r="K886" i="2"/>
  <c r="J886" i="2"/>
  <c r="L886" i="2"/>
  <c r="K881" i="2"/>
  <c r="J881" i="2"/>
  <c r="L881" i="2"/>
  <c r="K880" i="2"/>
  <c r="J880" i="2"/>
  <c r="L880" i="2"/>
  <c r="K879" i="2"/>
  <c r="J879" i="2"/>
  <c r="L879" i="2"/>
  <c r="K878" i="2"/>
  <c r="J878" i="2"/>
  <c r="L878" i="2"/>
  <c r="K877" i="2"/>
  <c r="J877" i="2"/>
  <c r="L877" i="2"/>
  <c r="K876" i="2"/>
  <c r="J876" i="2"/>
  <c r="L876" i="2"/>
  <c r="K875" i="2"/>
  <c r="J875" i="2"/>
  <c r="L875" i="2"/>
  <c r="K874" i="2"/>
  <c r="J874" i="2"/>
  <c r="L874" i="2"/>
  <c r="K873" i="2"/>
  <c r="J873" i="2"/>
  <c r="L873" i="2"/>
  <c r="K872" i="2"/>
  <c r="J872" i="2"/>
  <c r="L872" i="2"/>
  <c r="K871" i="2"/>
  <c r="J871" i="2"/>
  <c r="L871" i="2"/>
  <c r="K870" i="2"/>
  <c r="J870" i="2"/>
  <c r="L870" i="2"/>
  <c r="K869" i="2"/>
  <c r="J869" i="2"/>
  <c r="L869" i="2"/>
  <c r="K906" i="2" l="1"/>
  <c r="J906" i="2"/>
  <c r="L906" i="2"/>
  <c r="K905" i="2"/>
  <c r="J905" i="2"/>
  <c r="L905" i="2"/>
  <c r="K903" i="2"/>
  <c r="J903" i="2"/>
  <c r="L903" i="2"/>
  <c r="K902" i="2"/>
  <c r="J902" i="2"/>
  <c r="L902" i="2"/>
  <c r="K901" i="2"/>
  <c r="J901" i="2"/>
  <c r="L901" i="2"/>
  <c r="K900" i="2"/>
  <c r="J900" i="2"/>
  <c r="L900" i="2"/>
  <c r="K899" i="2"/>
  <c r="J899" i="2"/>
  <c r="L899" i="2"/>
  <c r="K897" i="2"/>
  <c r="J897" i="2"/>
  <c r="L897" i="2"/>
  <c r="K895" i="2"/>
  <c r="J895" i="2"/>
  <c r="L895" i="2"/>
  <c r="K892" i="2"/>
  <c r="J892" i="2"/>
  <c r="L892" i="2"/>
  <c r="K889" i="2"/>
  <c r="J889" i="2"/>
  <c r="L889" i="2"/>
  <c r="K887" i="2"/>
  <c r="J887" i="2"/>
  <c r="L887" i="2"/>
  <c r="K885" i="2"/>
  <c r="J885" i="2"/>
  <c r="L885" i="2"/>
  <c r="K884" i="2"/>
  <c r="J884" i="2"/>
  <c r="L884" i="2"/>
  <c r="K883" i="2"/>
  <c r="J883" i="2"/>
  <c r="L883" i="2"/>
  <c r="K882" i="2"/>
  <c r="J882" i="2"/>
  <c r="L882" i="2"/>
  <c r="K913" i="2" l="1"/>
  <c r="J913" i="2"/>
  <c r="L913" i="2"/>
  <c r="K896" i="2"/>
  <c r="J896" i="2"/>
  <c r="L896" i="2"/>
  <c r="K894" i="2"/>
  <c r="J894" i="2"/>
  <c r="L894" i="2"/>
  <c r="K893" i="2"/>
  <c r="J893" i="2"/>
  <c r="L893" i="2"/>
  <c r="K891" i="2"/>
  <c r="J891" i="2"/>
  <c r="L891" i="2"/>
  <c r="K843" i="2" l="1"/>
  <c r="J843" i="2"/>
  <c r="L843" i="2"/>
  <c r="K853" i="2" l="1"/>
  <c r="J853" i="2"/>
  <c r="L853" i="2"/>
  <c r="K852" i="2"/>
  <c r="J852" i="2"/>
  <c r="L852" i="2"/>
  <c r="K850" i="2"/>
  <c r="J850" i="2"/>
  <c r="L850" i="2"/>
  <c r="K848" i="2"/>
  <c r="J848" i="2"/>
  <c r="L848" i="2"/>
  <c r="K847" i="2"/>
  <c r="J847" i="2"/>
  <c r="L847" i="2"/>
  <c r="K840" i="2" l="1"/>
  <c r="J840" i="2"/>
  <c r="L840" i="2"/>
  <c r="K861" i="2"/>
  <c r="J861" i="2"/>
  <c r="L861" i="2"/>
  <c r="K860" i="2"/>
  <c r="J860" i="2"/>
  <c r="L860" i="2"/>
  <c r="K859" i="2"/>
  <c r="J859" i="2"/>
  <c r="L859" i="2"/>
  <c r="K858" i="2"/>
  <c r="J858" i="2"/>
  <c r="L858" i="2"/>
  <c r="K857" i="2"/>
  <c r="J857" i="2"/>
  <c r="L857" i="2"/>
  <c r="K856" i="2"/>
  <c r="J856" i="2"/>
  <c r="L856" i="2"/>
  <c r="K855" i="2"/>
  <c r="J855" i="2"/>
  <c r="L855" i="2"/>
  <c r="K854" i="2"/>
  <c r="J854" i="2"/>
  <c r="L854" i="2"/>
  <c r="K851" i="2"/>
  <c r="J851" i="2"/>
  <c r="L851" i="2"/>
  <c r="K849" i="2"/>
  <c r="J849" i="2"/>
  <c r="L849" i="2"/>
  <c r="K846" i="2"/>
  <c r="J846" i="2"/>
  <c r="L846" i="2"/>
  <c r="K845" i="2"/>
  <c r="J845" i="2"/>
  <c r="L845" i="2"/>
  <c r="K844" i="2"/>
  <c r="J844" i="2"/>
  <c r="L844" i="2"/>
  <c r="K842" i="2"/>
  <c r="J842" i="2"/>
  <c r="L842" i="2"/>
  <c r="K841" i="2"/>
  <c r="J841" i="2"/>
  <c r="L841" i="2"/>
  <c r="K867" i="2"/>
  <c r="J867" i="2"/>
  <c r="L867" i="2"/>
  <c r="K866" i="2"/>
  <c r="J866" i="2"/>
  <c r="L866" i="2"/>
  <c r="K865" i="2"/>
  <c r="J865" i="2"/>
  <c r="L865" i="2"/>
  <c r="K864" i="2"/>
  <c r="J864" i="2"/>
  <c r="L864" i="2"/>
  <c r="K863" i="2"/>
  <c r="J863" i="2"/>
  <c r="L863" i="2"/>
  <c r="K862" i="2"/>
  <c r="J862" i="2"/>
  <c r="L862" i="2"/>
  <c r="K801" i="2" l="1"/>
  <c r="J801" i="2"/>
  <c r="L801" i="2"/>
  <c r="K839" i="2"/>
  <c r="J839" i="2"/>
  <c r="L839" i="2"/>
  <c r="K836" i="2"/>
  <c r="J836" i="2"/>
  <c r="L836" i="2"/>
  <c r="K828" i="2"/>
  <c r="J828" i="2"/>
  <c r="L828" i="2"/>
  <c r="K825" i="2"/>
  <c r="J825" i="2"/>
  <c r="L825" i="2"/>
  <c r="K822" i="2"/>
  <c r="J822" i="2"/>
  <c r="L822" i="2"/>
  <c r="K817" i="2"/>
  <c r="J817" i="2"/>
  <c r="L817" i="2"/>
  <c r="K815" i="2"/>
  <c r="J815" i="2"/>
  <c r="L815" i="2"/>
  <c r="K812" i="2"/>
  <c r="J812" i="2"/>
  <c r="L812" i="2"/>
  <c r="K810" i="2"/>
  <c r="J810" i="2"/>
  <c r="L810" i="2"/>
  <c r="K808" i="2"/>
  <c r="J808" i="2"/>
  <c r="L808" i="2"/>
  <c r="K804" i="2"/>
  <c r="J804" i="2"/>
  <c r="L804" i="2"/>
  <c r="K802" i="2" l="1"/>
  <c r="J802" i="2"/>
  <c r="L802" i="2"/>
  <c r="K838" i="2" l="1"/>
  <c r="J838" i="2"/>
  <c r="L838" i="2"/>
  <c r="K837" i="2"/>
  <c r="J837" i="2"/>
  <c r="L837" i="2"/>
  <c r="K835" i="2"/>
  <c r="J835" i="2"/>
  <c r="L835" i="2"/>
  <c r="K834" i="2"/>
  <c r="J834" i="2"/>
  <c r="L834" i="2"/>
  <c r="K832" i="2"/>
  <c r="J832" i="2"/>
  <c r="L832" i="2"/>
  <c r="K831" i="2"/>
  <c r="J831" i="2"/>
  <c r="L831" i="2"/>
  <c r="K830" i="2"/>
  <c r="J830" i="2"/>
  <c r="L830" i="2"/>
  <c r="K829" i="2"/>
  <c r="J829" i="2"/>
  <c r="L829" i="2"/>
  <c r="K827" i="2"/>
  <c r="J827" i="2"/>
  <c r="L827" i="2"/>
  <c r="K824" i="2"/>
  <c r="J824" i="2"/>
  <c r="L824" i="2"/>
  <c r="K821" i="2"/>
  <c r="J821" i="2"/>
  <c r="L821" i="2"/>
  <c r="K820" i="2"/>
  <c r="J820" i="2"/>
  <c r="L820" i="2"/>
  <c r="K816" i="2"/>
  <c r="J816" i="2"/>
  <c r="L816" i="2"/>
  <c r="K814" i="2"/>
  <c r="J814" i="2"/>
  <c r="L814" i="2"/>
  <c r="K813" i="2"/>
  <c r="J813" i="2"/>
  <c r="L813" i="2"/>
  <c r="K811" i="2"/>
  <c r="J811" i="2"/>
  <c r="L811" i="2"/>
  <c r="K809" i="2"/>
  <c r="J809" i="2"/>
  <c r="L809" i="2"/>
  <c r="K807" i="2"/>
  <c r="J807" i="2"/>
  <c r="L807" i="2"/>
  <c r="K806" i="2"/>
  <c r="J806" i="2"/>
  <c r="L806" i="2"/>
  <c r="K805" i="2"/>
  <c r="J805" i="2"/>
  <c r="L805" i="2"/>
  <c r="K803" i="2"/>
  <c r="J803" i="2"/>
  <c r="L803" i="2"/>
  <c r="K833" i="2" l="1"/>
  <c r="J833" i="2"/>
  <c r="L833" i="2"/>
  <c r="K826" i="2"/>
  <c r="J826" i="2"/>
  <c r="L826" i="2"/>
  <c r="K823" i="2"/>
  <c r="J823" i="2"/>
  <c r="L823" i="2"/>
  <c r="K819" i="2"/>
  <c r="J819" i="2"/>
  <c r="L819" i="2"/>
  <c r="K818" i="2"/>
  <c r="J818" i="2"/>
  <c r="L818" i="2"/>
  <c r="K800" i="2" l="1"/>
  <c r="J800" i="2"/>
  <c r="L800" i="2"/>
  <c r="K799" i="2"/>
  <c r="J799" i="2"/>
  <c r="L799" i="2"/>
  <c r="K798" i="2"/>
  <c r="J798" i="2"/>
  <c r="L798" i="2"/>
  <c r="K793" i="2"/>
  <c r="J793" i="2"/>
  <c r="L793" i="2"/>
  <c r="K791" i="2"/>
  <c r="J791" i="2"/>
  <c r="L791" i="2"/>
  <c r="K789" i="2"/>
  <c r="J789" i="2"/>
  <c r="L789" i="2"/>
  <c r="K783" i="2"/>
  <c r="J783" i="2"/>
  <c r="L783" i="2"/>
  <c r="K780" i="2"/>
  <c r="J780" i="2"/>
  <c r="L780" i="2"/>
  <c r="K776" i="2"/>
  <c r="J776" i="2"/>
  <c r="L776" i="2"/>
  <c r="K774" i="2"/>
  <c r="J774" i="2"/>
  <c r="L774" i="2"/>
  <c r="K773" i="2"/>
  <c r="J773" i="2"/>
  <c r="L773" i="2"/>
  <c r="K771" i="2"/>
  <c r="J771" i="2"/>
  <c r="L771" i="2"/>
  <c r="K769" i="2"/>
  <c r="J769" i="2"/>
  <c r="L769" i="2"/>
  <c r="K768" i="2"/>
  <c r="J768" i="2"/>
  <c r="L768" i="2"/>
  <c r="K766" i="2"/>
  <c r="J766" i="2"/>
  <c r="L766" i="2"/>
  <c r="K786" i="2"/>
  <c r="J786" i="2"/>
  <c r="L786" i="2"/>
  <c r="K785" i="2"/>
  <c r="J785" i="2"/>
  <c r="L785" i="2"/>
  <c r="K784" i="2"/>
  <c r="J784" i="2"/>
  <c r="L784" i="2"/>
  <c r="K762" i="2" l="1"/>
  <c r="J762" i="2"/>
  <c r="L762" i="2"/>
  <c r="K792" i="2"/>
  <c r="J792" i="2"/>
  <c r="L792" i="2"/>
  <c r="K790" i="2"/>
  <c r="J790" i="2"/>
  <c r="L790" i="2"/>
  <c r="K788" i="2"/>
  <c r="J788" i="2"/>
  <c r="L788" i="2"/>
  <c r="K781" i="2"/>
  <c r="J781" i="2"/>
  <c r="L781" i="2"/>
  <c r="K777" i="2"/>
  <c r="J777" i="2"/>
  <c r="L777" i="2"/>
  <c r="K775" i="2"/>
  <c r="J775" i="2"/>
  <c r="L775" i="2"/>
  <c r="K772" i="2"/>
  <c r="J772" i="2"/>
  <c r="L772" i="2"/>
  <c r="K770" i="2"/>
  <c r="J770" i="2"/>
  <c r="L770" i="2"/>
  <c r="K767" i="2"/>
  <c r="J767" i="2"/>
  <c r="L767" i="2"/>
  <c r="K782" i="2" l="1"/>
  <c r="J782" i="2"/>
  <c r="L782" i="2"/>
  <c r="K779" i="2"/>
  <c r="J779" i="2"/>
  <c r="L779" i="2"/>
  <c r="K778" i="2"/>
  <c r="J778" i="2"/>
  <c r="L778" i="2"/>
  <c r="K787" i="2"/>
  <c r="J787" i="2"/>
  <c r="L787" i="2"/>
  <c r="K765" i="2"/>
  <c r="J765" i="2"/>
  <c r="L765" i="2"/>
  <c r="K764" i="2"/>
  <c r="J764" i="2"/>
  <c r="L764" i="2"/>
  <c r="K763" i="2"/>
  <c r="J763" i="2"/>
  <c r="L763" i="2"/>
  <c r="K797" i="2"/>
  <c r="J797" i="2"/>
  <c r="L797" i="2"/>
  <c r="K796" i="2"/>
  <c r="J796" i="2"/>
  <c r="L796" i="2"/>
  <c r="K795" i="2"/>
  <c r="J795" i="2"/>
  <c r="L795" i="2"/>
  <c r="K794" i="2"/>
  <c r="J794" i="2"/>
  <c r="L794" i="2"/>
  <c r="K745" i="2" l="1"/>
  <c r="J745" i="2"/>
  <c r="L745" i="2"/>
  <c r="K761" i="2"/>
  <c r="J761" i="2"/>
  <c r="L761" i="2"/>
  <c r="K760" i="2"/>
  <c r="J760" i="2"/>
  <c r="L760" i="2"/>
  <c r="K759" i="2"/>
  <c r="J759" i="2"/>
  <c r="L759" i="2"/>
  <c r="K758" i="2"/>
  <c r="J758" i="2"/>
  <c r="L758" i="2"/>
  <c r="K756" i="2"/>
  <c r="J756" i="2"/>
  <c r="L756" i="2"/>
  <c r="K755" i="2"/>
  <c r="J755" i="2"/>
  <c r="L755" i="2"/>
  <c r="K753" i="2"/>
  <c r="J753" i="2"/>
  <c r="L753" i="2"/>
  <c r="K751" i="2"/>
  <c r="J751" i="2"/>
  <c r="L751" i="2"/>
  <c r="K749" i="2"/>
  <c r="J749" i="2"/>
  <c r="L749" i="2"/>
  <c r="K748" i="2"/>
  <c r="J748" i="2"/>
  <c r="L748" i="2"/>
  <c r="K747" i="2"/>
  <c r="J747" i="2"/>
  <c r="L747" i="2"/>
  <c r="K746" i="2"/>
  <c r="J746" i="2"/>
  <c r="L746" i="2"/>
  <c r="K757" i="2" l="1"/>
  <c r="J757" i="2"/>
  <c r="L757" i="2"/>
  <c r="K754" i="2"/>
  <c r="J754" i="2"/>
  <c r="L754" i="2"/>
  <c r="K752" i="2"/>
  <c r="J752" i="2"/>
  <c r="L752" i="2"/>
  <c r="K750" i="2"/>
  <c r="J750" i="2"/>
  <c r="L750" i="2"/>
  <c r="K700" i="2" l="1"/>
  <c r="J700" i="2"/>
  <c r="L700" i="2"/>
  <c r="K744" i="2"/>
  <c r="J744" i="2"/>
  <c r="L744" i="2"/>
  <c r="K743" i="2"/>
  <c r="J743" i="2"/>
  <c r="L743" i="2"/>
  <c r="K742" i="2"/>
  <c r="J742" i="2"/>
  <c r="L742" i="2"/>
  <c r="K741" i="2"/>
  <c r="J741" i="2"/>
  <c r="L741" i="2"/>
  <c r="K740" i="2"/>
  <c r="J740" i="2"/>
  <c r="L740" i="2"/>
  <c r="K736" i="2"/>
  <c r="J736" i="2"/>
  <c r="L736" i="2"/>
  <c r="K732" i="2"/>
  <c r="J732" i="2"/>
  <c r="L732" i="2"/>
  <c r="K731" i="2"/>
  <c r="J731" i="2"/>
  <c r="L731" i="2"/>
  <c r="K729" i="2"/>
  <c r="J729" i="2"/>
  <c r="L729" i="2"/>
  <c r="K728" i="2"/>
  <c r="J728" i="2"/>
  <c r="L728" i="2"/>
  <c r="K726" i="2"/>
  <c r="J726" i="2"/>
  <c r="L726" i="2"/>
  <c r="K725" i="2"/>
  <c r="J725" i="2"/>
  <c r="L725" i="2"/>
  <c r="K711" i="2"/>
  <c r="J711" i="2"/>
  <c r="L711" i="2"/>
  <c r="K709" i="2"/>
  <c r="J709" i="2"/>
  <c r="L709" i="2"/>
  <c r="K701" i="2"/>
  <c r="J701" i="2"/>
  <c r="L701" i="2"/>
  <c r="K739" i="2" l="1"/>
  <c r="J739" i="2"/>
  <c r="L739" i="2"/>
  <c r="K738" i="2"/>
  <c r="J738" i="2"/>
  <c r="L738" i="2"/>
  <c r="K737" i="2"/>
  <c r="J737" i="2"/>
  <c r="L737" i="2"/>
  <c r="K735" i="2"/>
  <c r="J735" i="2"/>
  <c r="L735" i="2"/>
  <c r="K730" i="2"/>
  <c r="J730" i="2"/>
  <c r="L730" i="2"/>
  <c r="K727" i="2"/>
  <c r="J727" i="2"/>
  <c r="L727" i="2"/>
  <c r="K712" i="2"/>
  <c r="J712" i="2"/>
  <c r="L712" i="2"/>
  <c r="K708" i="2"/>
  <c r="J708" i="2"/>
  <c r="L708" i="2"/>
  <c r="K702" i="2"/>
  <c r="J702" i="2"/>
  <c r="L702" i="2"/>
  <c r="K717" i="2"/>
  <c r="J717" i="2"/>
  <c r="L717" i="2"/>
  <c r="K716" i="2"/>
  <c r="J716" i="2"/>
  <c r="L716" i="2"/>
  <c r="K715" i="2"/>
  <c r="J715" i="2"/>
  <c r="L715" i="2"/>
  <c r="K714" i="2"/>
  <c r="J714" i="2"/>
  <c r="L714" i="2"/>
  <c r="K713" i="2"/>
  <c r="J713" i="2"/>
  <c r="L713" i="2"/>
  <c r="K722" i="2"/>
  <c r="J722" i="2"/>
  <c r="L722" i="2"/>
  <c r="K721" i="2"/>
  <c r="J721" i="2"/>
  <c r="L721" i="2"/>
  <c r="K720" i="2"/>
  <c r="J720" i="2"/>
  <c r="L720" i="2"/>
  <c r="K719" i="2"/>
  <c r="J719" i="2"/>
  <c r="L719" i="2"/>
  <c r="K718" i="2"/>
  <c r="J718" i="2"/>
  <c r="L718" i="2"/>
  <c r="K724" i="2"/>
  <c r="J724" i="2"/>
  <c r="L724" i="2"/>
  <c r="K723" i="2"/>
  <c r="J723" i="2"/>
  <c r="L723" i="2"/>
  <c r="K733" i="2"/>
  <c r="J733" i="2"/>
  <c r="L733" i="2"/>
  <c r="K734" i="2"/>
  <c r="J734" i="2"/>
  <c r="L734" i="2"/>
  <c r="K710" i="2"/>
  <c r="J710" i="2"/>
  <c r="L710" i="2"/>
  <c r="K707" i="2"/>
  <c r="J707" i="2"/>
  <c r="L707" i="2"/>
  <c r="K706" i="2"/>
  <c r="J706" i="2"/>
  <c r="L706" i="2"/>
  <c r="K705" i="2"/>
  <c r="J705" i="2"/>
  <c r="L705" i="2"/>
  <c r="K704" i="2"/>
  <c r="J704" i="2"/>
  <c r="L704" i="2"/>
  <c r="K703" i="2"/>
  <c r="J703" i="2"/>
  <c r="L703" i="2"/>
  <c r="K675" i="2" l="1"/>
  <c r="J675" i="2"/>
  <c r="L675" i="2"/>
  <c r="K699" i="2"/>
  <c r="J699" i="2"/>
  <c r="L699" i="2"/>
  <c r="K698" i="2"/>
  <c r="J698" i="2"/>
  <c r="L698" i="2"/>
  <c r="K696" i="2"/>
  <c r="J696" i="2"/>
  <c r="L696" i="2"/>
  <c r="K694" i="2"/>
  <c r="J694" i="2"/>
  <c r="L694" i="2"/>
  <c r="K693" i="2"/>
  <c r="J693" i="2"/>
  <c r="L693" i="2"/>
  <c r="K691" i="2"/>
  <c r="J691" i="2"/>
  <c r="L691" i="2"/>
  <c r="K690" i="2"/>
  <c r="J690" i="2"/>
  <c r="L690" i="2"/>
  <c r="K688" i="2"/>
  <c r="J688" i="2"/>
  <c r="L688" i="2"/>
  <c r="K686" i="2"/>
  <c r="J686" i="2"/>
  <c r="L686" i="2"/>
  <c r="K683" i="2"/>
  <c r="J683" i="2"/>
  <c r="L683" i="2"/>
  <c r="K682" i="2"/>
  <c r="J682" i="2"/>
  <c r="L682" i="2"/>
  <c r="K681" i="2"/>
  <c r="J681" i="2"/>
  <c r="L681" i="2"/>
  <c r="K680" i="2"/>
  <c r="J680" i="2"/>
  <c r="L680" i="2"/>
  <c r="K679" i="2"/>
  <c r="J679" i="2"/>
  <c r="L679" i="2"/>
  <c r="K678" i="2"/>
  <c r="J678" i="2"/>
  <c r="L678" i="2"/>
  <c r="K677" i="2"/>
  <c r="J677" i="2"/>
  <c r="L677" i="2"/>
  <c r="K676" i="2"/>
  <c r="J676" i="2"/>
  <c r="L676" i="2"/>
  <c r="K697" i="2" l="1"/>
  <c r="J697" i="2"/>
  <c r="L697" i="2"/>
  <c r="K695" i="2"/>
  <c r="J695" i="2"/>
  <c r="L695" i="2"/>
  <c r="K692" i="2"/>
  <c r="J692" i="2"/>
  <c r="L692" i="2"/>
  <c r="K689" i="2"/>
  <c r="J689" i="2"/>
  <c r="L689" i="2"/>
  <c r="K687" i="2"/>
  <c r="J687" i="2"/>
  <c r="L687" i="2"/>
  <c r="K685" i="2"/>
  <c r="J685" i="2"/>
  <c r="L685" i="2"/>
  <c r="K684" i="2"/>
  <c r="J684" i="2"/>
  <c r="L684" i="2"/>
  <c r="K674" i="2" l="1"/>
  <c r="J674" i="2"/>
  <c r="L674" i="2"/>
  <c r="K673" i="2"/>
  <c r="J673" i="2"/>
  <c r="L673" i="2"/>
  <c r="K672" i="2"/>
  <c r="J672" i="2"/>
  <c r="L672" i="2"/>
  <c r="K671" i="2"/>
  <c r="J671" i="2"/>
  <c r="L671" i="2"/>
  <c r="K670" i="2"/>
  <c r="J670" i="2"/>
  <c r="L670" i="2"/>
  <c r="K655" i="2" l="1"/>
  <c r="J655" i="2"/>
  <c r="L655" i="2"/>
  <c r="K669" i="2"/>
  <c r="J669" i="2"/>
  <c r="L669" i="2"/>
  <c r="K668" i="2"/>
  <c r="J668" i="2"/>
  <c r="L668" i="2"/>
  <c r="K667" i="2"/>
  <c r="J667" i="2"/>
  <c r="L667" i="2"/>
  <c r="K666" i="2"/>
  <c r="J666" i="2"/>
  <c r="L666" i="2"/>
  <c r="K665" i="2"/>
  <c r="J665" i="2"/>
  <c r="L665" i="2"/>
  <c r="K664" i="2"/>
  <c r="J664" i="2"/>
  <c r="L664" i="2"/>
  <c r="K658" i="2"/>
  <c r="J658" i="2"/>
  <c r="L658" i="2"/>
  <c r="K657" i="2"/>
  <c r="J657" i="2"/>
  <c r="L657" i="2"/>
  <c r="K656" i="2"/>
  <c r="J656" i="2"/>
  <c r="L656" i="2"/>
  <c r="K663" i="2" l="1"/>
  <c r="J663" i="2"/>
  <c r="L663" i="2"/>
  <c r="K662" i="2"/>
  <c r="J662" i="2"/>
  <c r="L662" i="2"/>
  <c r="K661" i="2"/>
  <c r="J661" i="2"/>
  <c r="L661" i="2"/>
  <c r="K660" i="2"/>
  <c r="J660" i="2"/>
  <c r="L660" i="2"/>
  <c r="K659" i="2"/>
  <c r="J659" i="2"/>
  <c r="L659" i="2"/>
  <c r="K654" i="2" l="1"/>
  <c r="J654" i="2"/>
  <c r="L654" i="2"/>
  <c r="K653" i="2"/>
  <c r="J653" i="2"/>
  <c r="L653" i="2"/>
  <c r="K652" i="2"/>
  <c r="J652" i="2"/>
  <c r="L652" i="2"/>
  <c r="K651" i="2"/>
  <c r="J651" i="2"/>
  <c r="L651" i="2"/>
  <c r="K650" i="2"/>
  <c r="J650" i="2"/>
  <c r="L650" i="2"/>
  <c r="K649" i="2"/>
  <c r="J649" i="2"/>
  <c r="L649" i="2"/>
  <c r="K648" i="2"/>
  <c r="J648" i="2"/>
  <c r="L648" i="2"/>
  <c r="K647" i="2"/>
  <c r="J647" i="2"/>
  <c r="L647" i="2"/>
  <c r="K646" i="2"/>
  <c r="J646" i="2"/>
  <c r="L646" i="2"/>
  <c r="K645" i="2" l="1"/>
  <c r="J645" i="2"/>
  <c r="L645" i="2"/>
  <c r="K644" i="2"/>
  <c r="J644" i="2"/>
  <c r="L644" i="2"/>
  <c r="K643" i="2"/>
  <c r="J643" i="2"/>
  <c r="L643" i="2"/>
  <c r="K642" i="2"/>
  <c r="J642" i="2"/>
  <c r="L642" i="2"/>
  <c r="K641" i="2"/>
  <c r="J641" i="2"/>
  <c r="L641" i="2"/>
  <c r="K640" i="2"/>
  <c r="J640" i="2"/>
  <c r="L640" i="2"/>
  <c r="K621" i="2"/>
  <c r="J621" i="2"/>
  <c r="L621" i="2"/>
  <c r="K639" i="2"/>
  <c r="J639" i="2"/>
  <c r="L639" i="2"/>
  <c r="K638" i="2"/>
  <c r="J638" i="2"/>
  <c r="L638" i="2"/>
  <c r="K637" i="2"/>
  <c r="J637" i="2"/>
  <c r="L637" i="2"/>
  <c r="K636" i="2"/>
  <c r="J636" i="2"/>
  <c r="L636" i="2"/>
  <c r="K635" i="2"/>
  <c r="J635" i="2"/>
  <c r="L635" i="2"/>
  <c r="K634" i="2"/>
  <c r="J634" i="2"/>
  <c r="L634" i="2"/>
  <c r="K633" i="2"/>
  <c r="J633" i="2"/>
  <c r="L633" i="2"/>
  <c r="K632" i="2"/>
  <c r="J632" i="2"/>
  <c r="L632" i="2"/>
  <c r="K631" i="2"/>
  <c r="J631" i="2"/>
  <c r="L631" i="2"/>
  <c r="K630" i="2"/>
  <c r="J630" i="2"/>
  <c r="L630" i="2"/>
  <c r="K629" i="2"/>
  <c r="J629" i="2"/>
  <c r="L629" i="2"/>
  <c r="K628" i="2"/>
  <c r="J628" i="2"/>
  <c r="L628" i="2"/>
  <c r="K627" i="2"/>
  <c r="J627" i="2"/>
  <c r="L627" i="2"/>
  <c r="K626" i="2"/>
  <c r="J626" i="2"/>
  <c r="L626" i="2"/>
  <c r="K625" i="2"/>
  <c r="J625" i="2"/>
  <c r="L625" i="2"/>
  <c r="K624" i="2"/>
  <c r="J624" i="2"/>
  <c r="L624" i="2"/>
  <c r="K623" i="2"/>
  <c r="J623" i="2"/>
  <c r="L623" i="2"/>
  <c r="K622" i="2"/>
  <c r="J622" i="2"/>
  <c r="L622" i="2"/>
  <c r="K573" i="2"/>
  <c r="J573" i="2"/>
  <c r="L573" i="2"/>
  <c r="K620" i="2"/>
  <c r="J620" i="2"/>
  <c r="L620" i="2"/>
  <c r="K619" i="2"/>
  <c r="J619" i="2"/>
  <c r="L619" i="2"/>
  <c r="K618" i="2"/>
  <c r="J618" i="2"/>
  <c r="L618" i="2"/>
  <c r="K617" i="2"/>
  <c r="J617" i="2"/>
  <c r="L617" i="2"/>
  <c r="K616" i="2"/>
  <c r="J616" i="2"/>
  <c r="L616" i="2"/>
  <c r="K615" i="2"/>
  <c r="J615" i="2"/>
  <c r="L615" i="2"/>
  <c r="K614" i="2"/>
  <c r="J614" i="2"/>
  <c r="L614" i="2"/>
  <c r="K613" i="2"/>
  <c r="J613" i="2"/>
  <c r="L613" i="2"/>
  <c r="K612" i="2"/>
  <c r="J612" i="2"/>
  <c r="L612" i="2"/>
  <c r="K611" i="2"/>
  <c r="J611" i="2"/>
  <c r="L611" i="2"/>
  <c r="K610" i="2"/>
  <c r="J610" i="2"/>
  <c r="L610" i="2"/>
  <c r="K609" i="2"/>
  <c r="J609" i="2"/>
  <c r="L609" i="2"/>
  <c r="K608" i="2"/>
  <c r="J608" i="2"/>
  <c r="L608" i="2"/>
  <c r="K607" i="2"/>
  <c r="J607" i="2"/>
  <c r="L607" i="2"/>
  <c r="K606" i="2"/>
  <c r="J606" i="2"/>
  <c r="L606" i="2"/>
  <c r="K605" i="2"/>
  <c r="J605" i="2"/>
  <c r="L605" i="2"/>
  <c r="K604" i="2"/>
  <c r="J604" i="2"/>
  <c r="L604" i="2"/>
  <c r="K603" i="2"/>
  <c r="J603" i="2"/>
  <c r="L603" i="2"/>
  <c r="K602" i="2"/>
  <c r="J602" i="2"/>
  <c r="L602" i="2"/>
  <c r="K601" i="2"/>
  <c r="J601" i="2"/>
  <c r="L601" i="2"/>
  <c r="K600" i="2"/>
  <c r="J600" i="2"/>
  <c r="L600" i="2"/>
  <c r="K599" i="2"/>
  <c r="J599" i="2"/>
  <c r="L599" i="2"/>
  <c r="K598" i="2"/>
  <c r="J598" i="2"/>
  <c r="L598" i="2"/>
  <c r="K597" i="2"/>
  <c r="J597" i="2"/>
  <c r="L597" i="2"/>
  <c r="K596" i="2"/>
  <c r="J596" i="2"/>
  <c r="L596" i="2"/>
  <c r="K595" i="2"/>
  <c r="J595" i="2"/>
  <c r="L595" i="2"/>
  <c r="K594" i="2"/>
  <c r="J594" i="2"/>
  <c r="L594" i="2"/>
  <c r="K593" i="2"/>
  <c r="J593" i="2"/>
  <c r="L593" i="2"/>
  <c r="K592" i="2"/>
  <c r="J592" i="2"/>
  <c r="L592" i="2"/>
  <c r="K591" i="2"/>
  <c r="J591" i="2"/>
  <c r="L591" i="2"/>
  <c r="K590" i="2"/>
  <c r="J590" i="2"/>
  <c r="L590" i="2"/>
  <c r="K589" i="2"/>
  <c r="J589" i="2"/>
  <c r="L589" i="2"/>
  <c r="K588" i="2"/>
  <c r="J588" i="2"/>
  <c r="L588" i="2"/>
  <c r="K587" i="2"/>
  <c r="J587" i="2"/>
  <c r="L587" i="2"/>
  <c r="K586" i="2"/>
  <c r="J586" i="2"/>
  <c r="L586" i="2"/>
  <c r="K585" i="2"/>
  <c r="J585" i="2"/>
  <c r="L585" i="2"/>
  <c r="K584" i="2"/>
  <c r="J584" i="2"/>
  <c r="L584" i="2"/>
  <c r="K583" i="2"/>
  <c r="J583" i="2"/>
  <c r="L583" i="2"/>
  <c r="K582" i="2"/>
  <c r="J582" i="2"/>
  <c r="L582" i="2"/>
  <c r="K581" i="2"/>
  <c r="J581" i="2"/>
  <c r="L581" i="2"/>
  <c r="K580" i="2"/>
  <c r="J580" i="2"/>
  <c r="L580" i="2"/>
  <c r="K579" i="2"/>
  <c r="J579" i="2"/>
  <c r="L579" i="2"/>
  <c r="K578" i="2"/>
  <c r="J578" i="2"/>
  <c r="L578" i="2"/>
  <c r="K577" i="2"/>
  <c r="J577" i="2"/>
  <c r="L577" i="2"/>
  <c r="K576" i="2"/>
  <c r="J576" i="2"/>
  <c r="L576" i="2"/>
  <c r="K575" i="2"/>
  <c r="J575" i="2"/>
  <c r="L575" i="2"/>
  <c r="K574" i="2"/>
  <c r="J574" i="2"/>
  <c r="L574" i="2"/>
  <c r="K572" i="2"/>
  <c r="J572" i="2"/>
  <c r="L572" i="2"/>
  <c r="K571" i="2"/>
  <c r="J571" i="2"/>
  <c r="L571" i="2"/>
  <c r="K570" i="2"/>
  <c r="J570" i="2"/>
  <c r="L570" i="2"/>
  <c r="K569" i="2"/>
  <c r="J569" i="2"/>
  <c r="L569" i="2"/>
  <c r="K568" i="2"/>
  <c r="J568" i="2"/>
  <c r="L568" i="2"/>
  <c r="K567" i="2"/>
  <c r="J567" i="2"/>
  <c r="L567" i="2"/>
  <c r="K566" i="2"/>
  <c r="J566" i="2"/>
  <c r="L566" i="2"/>
  <c r="K565" i="2"/>
  <c r="J565" i="2"/>
  <c r="L565" i="2"/>
  <c r="K564" i="2"/>
  <c r="J564" i="2"/>
  <c r="L564" i="2"/>
  <c r="K563" i="2"/>
  <c r="J563" i="2"/>
  <c r="L563" i="2"/>
  <c r="K562" i="2"/>
  <c r="J562" i="2"/>
  <c r="L562" i="2"/>
  <c r="K561" i="2"/>
  <c r="J561" i="2"/>
  <c r="L561" i="2"/>
  <c r="K560" i="2"/>
  <c r="J560" i="2"/>
  <c r="L560" i="2"/>
  <c r="K559" i="2"/>
  <c r="J559" i="2"/>
  <c r="L559" i="2"/>
  <c r="K558" i="2"/>
  <c r="J558" i="2"/>
  <c r="L558" i="2"/>
  <c r="K557" i="2"/>
  <c r="J557" i="2"/>
  <c r="L557" i="2"/>
  <c r="K556" i="2"/>
  <c r="J556" i="2"/>
  <c r="L556" i="2"/>
  <c r="K555" i="2"/>
  <c r="J555" i="2"/>
  <c r="L555" i="2"/>
  <c r="K518" i="2"/>
  <c r="J518" i="2"/>
  <c r="L518" i="2"/>
  <c r="K517" i="2"/>
  <c r="J517" i="2"/>
  <c r="L517" i="2"/>
  <c r="K520" i="2"/>
  <c r="J520" i="2"/>
  <c r="L520" i="2"/>
  <c r="K519" i="2"/>
  <c r="J519" i="2"/>
  <c r="L519" i="2"/>
  <c r="K554" i="2"/>
  <c r="J554" i="2"/>
  <c r="L554" i="2"/>
  <c r="K553" i="2"/>
  <c r="J553" i="2"/>
  <c r="L553" i="2"/>
  <c r="K540" i="2"/>
  <c r="J540" i="2"/>
  <c r="L540" i="2"/>
  <c r="K539" i="2"/>
  <c r="J539" i="2"/>
  <c r="L539" i="2"/>
  <c r="K538" i="2"/>
  <c r="J538" i="2"/>
  <c r="L538" i="2"/>
  <c r="K537" i="2"/>
  <c r="J537" i="2"/>
  <c r="L537" i="2"/>
  <c r="K536" i="2"/>
  <c r="J536" i="2"/>
  <c r="L536" i="2"/>
  <c r="K535" i="2"/>
  <c r="J535" i="2"/>
  <c r="L535" i="2"/>
  <c r="K534" i="2"/>
  <c r="J534" i="2"/>
  <c r="L534" i="2"/>
  <c r="K533" i="2"/>
  <c r="J533" i="2"/>
  <c r="L533" i="2"/>
  <c r="K532" i="2"/>
  <c r="J532" i="2"/>
  <c r="L532" i="2"/>
  <c r="K531" i="2"/>
  <c r="J531" i="2"/>
  <c r="L531" i="2"/>
  <c r="K530" i="2"/>
  <c r="J530" i="2"/>
  <c r="L530" i="2"/>
  <c r="K529" i="2"/>
  <c r="J529" i="2"/>
  <c r="L529" i="2"/>
  <c r="K528" i="2"/>
  <c r="J528" i="2"/>
  <c r="L528" i="2"/>
  <c r="K527" i="2"/>
  <c r="J527" i="2"/>
  <c r="L527" i="2"/>
  <c r="K526" i="2"/>
  <c r="J526" i="2"/>
  <c r="L526" i="2"/>
  <c r="K525" i="2"/>
  <c r="J525" i="2"/>
  <c r="L525" i="2"/>
  <c r="K524" i="2"/>
  <c r="J524" i="2"/>
  <c r="L524" i="2"/>
  <c r="K523" i="2"/>
  <c r="J523" i="2"/>
  <c r="L523" i="2"/>
  <c r="K522" i="2"/>
  <c r="J522" i="2"/>
  <c r="L522" i="2"/>
  <c r="K521" i="2"/>
  <c r="J521" i="2"/>
  <c r="L521" i="2"/>
  <c r="K552" i="2"/>
  <c r="J552" i="2"/>
  <c r="L552" i="2"/>
  <c r="K551" i="2"/>
  <c r="J551" i="2"/>
  <c r="L551" i="2"/>
  <c r="K550" i="2"/>
  <c r="J550" i="2"/>
  <c r="L550" i="2"/>
  <c r="K549" i="2"/>
  <c r="J549" i="2"/>
  <c r="L549" i="2"/>
  <c r="K548" i="2"/>
  <c r="J548" i="2"/>
  <c r="L548" i="2"/>
  <c r="K547" i="2"/>
  <c r="J547" i="2"/>
  <c r="L547" i="2"/>
  <c r="K546" i="2"/>
  <c r="J546" i="2"/>
  <c r="L546" i="2"/>
  <c r="K545" i="2"/>
  <c r="J545" i="2"/>
  <c r="L545" i="2"/>
  <c r="K544" i="2"/>
  <c r="J544" i="2"/>
  <c r="L544" i="2"/>
  <c r="K543" i="2"/>
  <c r="J543" i="2"/>
  <c r="L543" i="2"/>
  <c r="K542" i="2"/>
  <c r="J542" i="2"/>
  <c r="L542" i="2"/>
  <c r="K541" i="2"/>
  <c r="J541" i="2"/>
  <c r="L541" i="2"/>
  <c r="K483" i="2"/>
  <c r="J483" i="2"/>
  <c r="L483" i="2"/>
  <c r="K482" i="2"/>
  <c r="J482" i="2"/>
  <c r="L482" i="2"/>
  <c r="K516" i="2"/>
  <c r="J516" i="2"/>
  <c r="L516" i="2"/>
  <c r="K515" i="2"/>
  <c r="J515" i="2"/>
  <c r="L515" i="2"/>
  <c r="K514" i="2"/>
  <c r="J514" i="2"/>
  <c r="L514" i="2"/>
  <c r="K513" i="2"/>
  <c r="J513" i="2"/>
  <c r="L513" i="2"/>
  <c r="K512" i="2"/>
  <c r="J512" i="2"/>
  <c r="L512" i="2"/>
  <c r="K511" i="2"/>
  <c r="J511" i="2"/>
  <c r="L511" i="2"/>
  <c r="K510" i="2"/>
  <c r="J510" i="2"/>
  <c r="L510" i="2"/>
  <c r="K509" i="2"/>
  <c r="J509" i="2"/>
  <c r="L509" i="2"/>
  <c r="K508" i="2"/>
  <c r="J508" i="2"/>
  <c r="L508" i="2"/>
  <c r="K507" i="2"/>
  <c r="J507" i="2"/>
  <c r="L507" i="2"/>
  <c r="K504" i="2"/>
  <c r="J504" i="2"/>
  <c r="L504" i="2"/>
  <c r="K503" i="2"/>
  <c r="J503" i="2"/>
  <c r="L503" i="2"/>
  <c r="K502" i="2"/>
  <c r="J502" i="2"/>
  <c r="L502" i="2"/>
  <c r="K501" i="2"/>
  <c r="J501" i="2"/>
  <c r="L501" i="2"/>
  <c r="K500" i="2"/>
  <c r="J500" i="2"/>
  <c r="L500" i="2"/>
  <c r="K499" i="2"/>
  <c r="J499" i="2"/>
  <c r="L499" i="2"/>
  <c r="K498" i="2"/>
  <c r="J498" i="2"/>
  <c r="L498" i="2"/>
  <c r="K497" i="2"/>
  <c r="J497" i="2"/>
  <c r="L497" i="2"/>
  <c r="K496" i="2"/>
  <c r="J496" i="2"/>
  <c r="L496" i="2"/>
  <c r="K495" i="2"/>
  <c r="J495" i="2"/>
  <c r="L495" i="2"/>
  <c r="K493" i="2"/>
  <c r="J493" i="2"/>
  <c r="L493" i="2"/>
  <c r="K492" i="2"/>
  <c r="J492" i="2"/>
  <c r="L492" i="2"/>
  <c r="K491" i="2"/>
  <c r="J491" i="2"/>
  <c r="L491" i="2"/>
  <c r="K490" i="2"/>
  <c r="J490" i="2"/>
  <c r="L490" i="2"/>
  <c r="K488" i="2"/>
  <c r="J488" i="2"/>
  <c r="L488" i="2"/>
  <c r="K487" i="2"/>
  <c r="J487" i="2"/>
  <c r="L487" i="2"/>
  <c r="K486" i="2"/>
  <c r="J486" i="2"/>
  <c r="L486" i="2"/>
  <c r="K485" i="2"/>
  <c r="J485" i="2"/>
  <c r="L485" i="2"/>
  <c r="K484" i="2"/>
  <c r="J484" i="2"/>
  <c r="L484" i="2"/>
  <c r="K506" i="2"/>
  <c r="J506" i="2"/>
  <c r="L506" i="2"/>
  <c r="K505" i="2"/>
  <c r="J505" i="2"/>
  <c r="L505" i="2"/>
  <c r="K494" i="2"/>
  <c r="J494" i="2"/>
  <c r="L494" i="2"/>
  <c r="K489" i="2"/>
  <c r="J489" i="2"/>
  <c r="L489" i="2"/>
  <c r="K451" i="2"/>
  <c r="J451" i="2"/>
  <c r="L451" i="2"/>
  <c r="K479" i="2"/>
  <c r="J479" i="2"/>
  <c r="L479" i="2"/>
  <c r="K477" i="2"/>
  <c r="J477" i="2"/>
  <c r="L477" i="2"/>
  <c r="K475" i="2"/>
  <c r="J475" i="2"/>
  <c r="L475" i="2"/>
  <c r="K460" i="2"/>
  <c r="J460" i="2"/>
  <c r="L460" i="2"/>
  <c r="K481" i="2"/>
  <c r="J481" i="2"/>
  <c r="L481" i="2"/>
  <c r="K453" i="2"/>
  <c r="J453" i="2"/>
  <c r="L453" i="2"/>
  <c r="K452" i="2"/>
  <c r="J452" i="2"/>
  <c r="L452" i="2"/>
  <c r="K480" i="2"/>
  <c r="J480" i="2"/>
  <c r="L480" i="2"/>
  <c r="K478" i="2"/>
  <c r="J478" i="2"/>
  <c r="L478" i="2"/>
  <c r="K476" i="2"/>
  <c r="J476" i="2"/>
  <c r="L476" i="2"/>
  <c r="K474" i="2"/>
  <c r="J474" i="2"/>
  <c r="L474" i="2"/>
  <c r="K473" i="2"/>
  <c r="J473" i="2"/>
  <c r="L473" i="2"/>
  <c r="K472" i="2"/>
  <c r="J472" i="2"/>
  <c r="L472" i="2"/>
  <c r="K471" i="2"/>
  <c r="J471" i="2"/>
  <c r="L471" i="2"/>
  <c r="K470" i="2"/>
  <c r="J470" i="2"/>
  <c r="L470" i="2"/>
  <c r="K469" i="2"/>
  <c r="J469" i="2"/>
  <c r="L469" i="2"/>
  <c r="K468" i="2"/>
  <c r="J468" i="2"/>
  <c r="L468" i="2"/>
  <c r="K467" i="2"/>
  <c r="J467" i="2"/>
  <c r="L467" i="2"/>
  <c r="K466" i="2"/>
  <c r="J466" i="2"/>
  <c r="L466" i="2"/>
  <c r="K465" i="2"/>
  <c r="J465" i="2"/>
  <c r="L465" i="2"/>
  <c r="K464" i="2"/>
  <c r="J464" i="2"/>
  <c r="L464" i="2"/>
  <c r="K463" i="2"/>
  <c r="J463" i="2"/>
  <c r="L463" i="2"/>
  <c r="K462" i="2"/>
  <c r="J462" i="2"/>
  <c r="L462" i="2"/>
  <c r="K461" i="2"/>
  <c r="J461" i="2"/>
  <c r="L461" i="2"/>
  <c r="K459" i="2"/>
  <c r="J459" i="2"/>
  <c r="L459" i="2"/>
  <c r="K458" i="2"/>
  <c r="J458" i="2"/>
  <c r="L458" i="2"/>
  <c r="K457" i="2"/>
  <c r="J457" i="2"/>
  <c r="L457" i="2"/>
  <c r="K456" i="2"/>
  <c r="J456" i="2"/>
  <c r="L456" i="2"/>
  <c r="K455" i="2"/>
  <c r="J455" i="2"/>
  <c r="L455" i="2"/>
  <c r="K454" i="2"/>
  <c r="J454" i="2"/>
  <c r="L454" i="2"/>
  <c r="K430" i="2"/>
  <c r="J430" i="2"/>
  <c r="L430" i="2"/>
  <c r="K428" i="2"/>
  <c r="J428" i="2"/>
  <c r="L428" i="2"/>
  <c r="K426" i="2"/>
  <c r="J426" i="2"/>
  <c r="L426" i="2"/>
  <c r="K434" i="2"/>
  <c r="J434" i="2"/>
  <c r="L434" i="2"/>
  <c r="K433" i="2"/>
  <c r="J433" i="2"/>
  <c r="L433" i="2"/>
  <c r="K432" i="2"/>
  <c r="J432" i="2"/>
  <c r="L432" i="2"/>
  <c r="K396" i="2"/>
  <c r="J396" i="2"/>
  <c r="L396" i="2"/>
  <c r="K435" i="2"/>
  <c r="J435" i="2"/>
  <c r="L435" i="2"/>
  <c r="K393" i="2"/>
  <c r="J393" i="2"/>
  <c r="L393" i="2"/>
  <c r="K394" i="2"/>
  <c r="J394" i="2"/>
  <c r="L394" i="2"/>
  <c r="K395" i="2"/>
  <c r="J395" i="2"/>
  <c r="L395" i="2"/>
  <c r="K398" i="2"/>
  <c r="J398" i="2"/>
  <c r="L398" i="2"/>
  <c r="K431" i="2"/>
  <c r="J431" i="2"/>
  <c r="L431" i="2"/>
  <c r="K429" i="2"/>
  <c r="J429" i="2"/>
  <c r="L429" i="2"/>
  <c r="K427" i="2"/>
  <c r="J427" i="2"/>
  <c r="L427" i="2"/>
  <c r="K425" i="2"/>
  <c r="J425" i="2"/>
  <c r="L425" i="2"/>
  <c r="K424" i="2"/>
  <c r="J424" i="2"/>
  <c r="L424" i="2"/>
  <c r="K423" i="2"/>
  <c r="J423" i="2"/>
  <c r="L423" i="2"/>
  <c r="K422" i="2"/>
  <c r="J422" i="2"/>
  <c r="L422" i="2"/>
  <c r="K421" i="2"/>
  <c r="J421" i="2"/>
  <c r="L421" i="2"/>
  <c r="K420" i="2"/>
  <c r="J420" i="2"/>
  <c r="L420" i="2"/>
  <c r="K419" i="2"/>
  <c r="J419" i="2"/>
  <c r="L419" i="2"/>
  <c r="K418" i="2"/>
  <c r="J418" i="2"/>
  <c r="L418" i="2"/>
  <c r="K417" i="2"/>
  <c r="J417" i="2"/>
  <c r="L417" i="2"/>
  <c r="K416" i="2"/>
  <c r="J416" i="2"/>
  <c r="L416" i="2"/>
  <c r="K415" i="2"/>
  <c r="J415" i="2"/>
  <c r="L415" i="2"/>
  <c r="K414" i="2"/>
  <c r="J414" i="2"/>
  <c r="L414" i="2"/>
  <c r="K413" i="2"/>
  <c r="J413" i="2"/>
  <c r="L413" i="2"/>
  <c r="K412" i="2"/>
  <c r="J412" i="2"/>
  <c r="L412" i="2"/>
  <c r="K411" i="2"/>
  <c r="J411" i="2"/>
  <c r="L411" i="2"/>
  <c r="K410" i="2"/>
  <c r="J410" i="2"/>
  <c r="L410" i="2"/>
  <c r="K409" i="2"/>
  <c r="J409" i="2"/>
  <c r="L409" i="2"/>
  <c r="K408" i="2"/>
  <c r="J408" i="2"/>
  <c r="L408" i="2"/>
  <c r="K407" i="2"/>
  <c r="J407" i="2"/>
  <c r="L407" i="2"/>
  <c r="K406" i="2"/>
  <c r="J406" i="2"/>
  <c r="L406" i="2"/>
  <c r="K404" i="2"/>
  <c r="J404" i="2"/>
  <c r="L404" i="2"/>
  <c r="K403" i="2"/>
  <c r="J403" i="2"/>
  <c r="L403" i="2"/>
  <c r="K402" i="2"/>
  <c r="J402" i="2"/>
  <c r="L402" i="2"/>
  <c r="K401" i="2"/>
  <c r="J401" i="2"/>
  <c r="L401" i="2"/>
  <c r="K400" i="2"/>
  <c r="J400" i="2"/>
  <c r="L400" i="2"/>
  <c r="K399" i="2"/>
  <c r="J399" i="2"/>
  <c r="L399" i="2"/>
  <c r="K397" i="2"/>
  <c r="J397" i="2"/>
  <c r="L397" i="2"/>
  <c r="K405" i="2"/>
  <c r="J405" i="2"/>
  <c r="L405" i="2"/>
  <c r="K440" i="2"/>
  <c r="J440" i="2"/>
  <c r="L440" i="2"/>
  <c r="K439" i="2"/>
  <c r="J439" i="2"/>
  <c r="L439" i="2"/>
  <c r="K438" i="2"/>
  <c r="J438" i="2"/>
  <c r="L438" i="2"/>
  <c r="K447" i="2"/>
  <c r="J447" i="2"/>
  <c r="L447" i="2"/>
  <c r="K446" i="2"/>
  <c r="J446" i="2"/>
  <c r="L446" i="2"/>
  <c r="K445" i="2"/>
  <c r="J445" i="2"/>
  <c r="L445" i="2"/>
  <c r="K444" i="2"/>
  <c r="J444" i="2"/>
  <c r="L444" i="2"/>
  <c r="K443" i="2"/>
  <c r="J443" i="2"/>
  <c r="L443" i="2"/>
  <c r="K442" i="2"/>
  <c r="J442" i="2"/>
  <c r="L442" i="2"/>
  <c r="K441" i="2"/>
  <c r="J441" i="2"/>
  <c r="L441" i="2"/>
  <c r="K437" i="2"/>
  <c r="J437" i="2"/>
  <c r="L437" i="2"/>
  <c r="K392" i="2"/>
  <c r="J392" i="2"/>
  <c r="L392" i="2"/>
  <c r="K448" i="2"/>
  <c r="J448" i="2"/>
  <c r="L448" i="2"/>
  <c r="K450" i="2"/>
  <c r="J450" i="2"/>
  <c r="L450" i="2"/>
  <c r="K449" i="2"/>
  <c r="J449" i="2"/>
  <c r="L449" i="2"/>
  <c r="K436" i="2"/>
  <c r="J436" i="2"/>
  <c r="L436" i="2"/>
  <c r="K303" i="2"/>
  <c r="J303" i="2"/>
  <c r="L303" i="2"/>
  <c r="K305" i="2"/>
  <c r="J305" i="2"/>
  <c r="L305" i="2"/>
  <c r="K304" i="2"/>
  <c r="J304" i="2"/>
  <c r="L304" i="2"/>
  <c r="K306" i="2"/>
  <c r="J306" i="2"/>
  <c r="L306" i="2"/>
  <c r="K388" i="2"/>
  <c r="J388" i="2"/>
  <c r="L388" i="2"/>
  <c r="K383" i="2"/>
  <c r="J383" i="2"/>
  <c r="L383" i="2"/>
  <c r="K307" i="2"/>
  <c r="J307" i="2"/>
  <c r="L307" i="2"/>
  <c r="K385" i="2"/>
  <c r="J385" i="2"/>
  <c r="L385" i="2"/>
  <c r="K330" i="2"/>
  <c r="J330" i="2"/>
  <c r="L330" i="2"/>
  <c r="K329" i="2"/>
  <c r="J329" i="2"/>
  <c r="L329" i="2"/>
  <c r="K328" i="2"/>
  <c r="J328" i="2"/>
  <c r="L328" i="2"/>
  <c r="K327" i="2"/>
  <c r="J327" i="2"/>
  <c r="L327" i="2"/>
  <c r="K326" i="2"/>
  <c r="J326" i="2"/>
  <c r="L326" i="2"/>
  <c r="K325" i="2"/>
  <c r="J325" i="2"/>
  <c r="L325" i="2"/>
  <c r="K324" i="2"/>
  <c r="J324" i="2"/>
  <c r="L324" i="2"/>
  <c r="K323" i="2"/>
  <c r="J323" i="2"/>
  <c r="L323" i="2"/>
  <c r="K322" i="2"/>
  <c r="J322" i="2"/>
  <c r="L322" i="2"/>
  <c r="K376" i="2"/>
  <c r="J376" i="2"/>
  <c r="L376" i="2"/>
  <c r="K375" i="2"/>
  <c r="J375" i="2"/>
  <c r="L375" i="2"/>
  <c r="K374" i="2"/>
  <c r="J374" i="2"/>
  <c r="L374" i="2"/>
  <c r="K373" i="2"/>
  <c r="J373" i="2"/>
  <c r="L373" i="2"/>
  <c r="K372" i="2"/>
  <c r="J372" i="2"/>
  <c r="L372" i="2"/>
  <c r="K371" i="2"/>
  <c r="J371" i="2"/>
  <c r="L371" i="2"/>
  <c r="K370" i="2"/>
  <c r="J370" i="2"/>
  <c r="L370" i="2"/>
  <c r="K369" i="2"/>
  <c r="J369" i="2"/>
  <c r="L369" i="2"/>
  <c r="K368" i="2"/>
  <c r="J368" i="2"/>
  <c r="L368" i="2"/>
  <c r="K367" i="2"/>
  <c r="J367" i="2"/>
  <c r="L367" i="2"/>
  <c r="K366" i="2"/>
  <c r="J366" i="2"/>
  <c r="L366" i="2"/>
  <c r="K365" i="2"/>
  <c r="J365" i="2"/>
  <c r="L365" i="2"/>
  <c r="K364" i="2"/>
  <c r="J364" i="2"/>
  <c r="L364" i="2"/>
  <c r="K363" i="2"/>
  <c r="J363" i="2"/>
  <c r="L363" i="2"/>
  <c r="K362" i="2"/>
  <c r="J362" i="2"/>
  <c r="L362" i="2"/>
  <c r="K361" i="2"/>
  <c r="J361" i="2"/>
  <c r="L361" i="2"/>
  <c r="K360" i="2"/>
  <c r="J360" i="2"/>
  <c r="L360" i="2"/>
  <c r="K359" i="2"/>
  <c r="J359" i="2"/>
  <c r="L359" i="2"/>
  <c r="K358" i="2"/>
  <c r="J358" i="2"/>
  <c r="L358" i="2"/>
  <c r="K357" i="2"/>
  <c r="J357" i="2"/>
  <c r="L357" i="2"/>
  <c r="K356" i="2"/>
  <c r="J356" i="2"/>
  <c r="L356" i="2"/>
  <c r="K355" i="2"/>
  <c r="J355" i="2"/>
  <c r="L355" i="2"/>
  <c r="K354" i="2"/>
  <c r="J354" i="2"/>
  <c r="L354" i="2"/>
  <c r="K353" i="2"/>
  <c r="J353" i="2"/>
  <c r="L353" i="2"/>
  <c r="K352" i="2"/>
  <c r="J352" i="2"/>
  <c r="L352" i="2"/>
  <c r="K351" i="2"/>
  <c r="J351" i="2"/>
  <c r="L351" i="2"/>
  <c r="K350" i="2"/>
  <c r="J350" i="2"/>
  <c r="L350" i="2"/>
  <c r="K349" i="2"/>
  <c r="J349" i="2"/>
  <c r="L349" i="2"/>
  <c r="K348" i="2"/>
  <c r="J348" i="2"/>
  <c r="L348" i="2"/>
  <c r="K347" i="2"/>
  <c r="J347" i="2"/>
  <c r="L347" i="2"/>
  <c r="K346" i="2"/>
  <c r="J346" i="2"/>
  <c r="L346" i="2"/>
  <c r="K345" i="2"/>
  <c r="J345" i="2"/>
  <c r="L345" i="2"/>
  <c r="K344" i="2"/>
  <c r="J344" i="2"/>
  <c r="L344" i="2"/>
  <c r="K343" i="2"/>
  <c r="J343" i="2"/>
  <c r="L343" i="2"/>
  <c r="K342" i="2"/>
  <c r="J342" i="2"/>
  <c r="L342" i="2"/>
  <c r="K341" i="2"/>
  <c r="J341" i="2"/>
  <c r="L341" i="2"/>
  <c r="K340" i="2"/>
  <c r="J340" i="2"/>
  <c r="L340" i="2"/>
  <c r="K339" i="2"/>
  <c r="J339" i="2"/>
  <c r="L339" i="2"/>
  <c r="K338" i="2"/>
  <c r="J338" i="2"/>
  <c r="L338" i="2"/>
  <c r="K337" i="2"/>
  <c r="J337" i="2"/>
  <c r="L337" i="2"/>
  <c r="K336" i="2"/>
  <c r="J336" i="2"/>
  <c r="L336" i="2"/>
  <c r="K335" i="2"/>
  <c r="J335" i="2"/>
  <c r="L335" i="2"/>
  <c r="K334" i="2"/>
  <c r="J334" i="2"/>
  <c r="L334" i="2"/>
  <c r="K333" i="2"/>
  <c r="J333" i="2"/>
  <c r="L333" i="2"/>
  <c r="K332" i="2"/>
  <c r="J332" i="2"/>
  <c r="L332" i="2"/>
  <c r="K331" i="2"/>
  <c r="J331" i="2"/>
  <c r="L331" i="2"/>
  <c r="K391" i="2"/>
  <c r="J391" i="2"/>
  <c r="L391" i="2"/>
  <c r="K390" i="2"/>
  <c r="J390" i="2"/>
  <c r="L390" i="2"/>
  <c r="K389" i="2"/>
  <c r="J389" i="2"/>
  <c r="L389" i="2"/>
  <c r="K387" i="2"/>
  <c r="J387" i="2"/>
  <c r="L387" i="2"/>
  <c r="K386" i="2"/>
  <c r="J386" i="2"/>
  <c r="L386" i="2"/>
  <c r="K384" i="2"/>
  <c r="J384" i="2"/>
  <c r="L384" i="2"/>
  <c r="K382" i="2"/>
  <c r="J382" i="2"/>
  <c r="L382" i="2"/>
  <c r="K381" i="2"/>
  <c r="J381" i="2"/>
  <c r="L381" i="2"/>
  <c r="K380" i="2"/>
  <c r="J380" i="2"/>
  <c r="L380" i="2"/>
  <c r="K379" i="2"/>
  <c r="J379" i="2"/>
  <c r="L379" i="2"/>
  <c r="K377" i="2"/>
  <c r="J377" i="2"/>
  <c r="L377" i="2"/>
  <c r="K320" i="2"/>
  <c r="J320" i="2"/>
  <c r="L320" i="2"/>
  <c r="K319" i="2"/>
  <c r="J319" i="2"/>
  <c r="L319" i="2"/>
  <c r="K318" i="2"/>
  <c r="J318" i="2"/>
  <c r="L318" i="2"/>
  <c r="K316" i="2"/>
  <c r="J316" i="2"/>
  <c r="L316" i="2"/>
  <c r="K315" i="2"/>
  <c r="J315" i="2"/>
  <c r="L315" i="2"/>
  <c r="K314" i="2"/>
  <c r="J314" i="2"/>
  <c r="L314" i="2"/>
  <c r="K313" i="2"/>
  <c r="J313" i="2"/>
  <c r="L313" i="2"/>
  <c r="K312" i="2"/>
  <c r="J312" i="2"/>
  <c r="L312" i="2"/>
  <c r="K311" i="2"/>
  <c r="J311" i="2"/>
  <c r="L311" i="2"/>
  <c r="K310" i="2"/>
  <c r="J310" i="2"/>
  <c r="L310" i="2"/>
  <c r="K309" i="2"/>
  <c r="J309" i="2"/>
  <c r="L309" i="2"/>
  <c r="K308" i="2"/>
  <c r="J308" i="2"/>
  <c r="L308" i="2"/>
  <c r="K378" i="2"/>
  <c r="J378" i="2"/>
  <c r="L378" i="2"/>
  <c r="K321" i="2"/>
  <c r="J321" i="2"/>
  <c r="L321" i="2"/>
  <c r="K317" i="2"/>
  <c r="J317" i="2"/>
  <c r="L317" i="2"/>
  <c r="K302" i="2"/>
  <c r="J302" i="2"/>
  <c r="L302" i="2"/>
  <c r="K299" i="2"/>
  <c r="J299" i="2"/>
  <c r="L299" i="2"/>
  <c r="K298" i="2"/>
  <c r="J298" i="2"/>
  <c r="L298" i="2"/>
  <c r="K297" i="2"/>
  <c r="J297" i="2"/>
  <c r="L297" i="2"/>
  <c r="K301" i="2"/>
  <c r="J301" i="2"/>
  <c r="L301" i="2"/>
  <c r="K300" i="2"/>
  <c r="J300" i="2"/>
  <c r="L300" i="2"/>
  <c r="K289" i="2"/>
  <c r="J289" i="2"/>
  <c r="L289" i="2"/>
  <c r="K290" i="2"/>
  <c r="J290" i="2"/>
  <c r="L290" i="2"/>
  <c r="K295" i="2"/>
  <c r="J295" i="2"/>
  <c r="L295" i="2"/>
  <c r="K291" i="2"/>
  <c r="J291" i="2"/>
  <c r="L291" i="2"/>
  <c r="K296" i="2"/>
  <c r="J296" i="2"/>
  <c r="L296" i="2"/>
  <c r="K294" i="2"/>
  <c r="J294" i="2"/>
  <c r="L294" i="2"/>
  <c r="K293" i="2"/>
  <c r="J293" i="2"/>
  <c r="L293" i="2"/>
  <c r="K292" i="2"/>
  <c r="J292" i="2"/>
  <c r="L292" i="2"/>
  <c r="K256" i="2"/>
  <c r="J256" i="2"/>
  <c r="L256" i="2"/>
  <c r="K271" i="2"/>
  <c r="J271" i="2"/>
  <c r="L271" i="2"/>
  <c r="K270" i="2"/>
  <c r="J270" i="2"/>
  <c r="L270" i="2"/>
  <c r="K269" i="2"/>
  <c r="J269" i="2"/>
  <c r="L269" i="2"/>
  <c r="K268" i="2"/>
  <c r="J268" i="2"/>
  <c r="L268" i="2"/>
  <c r="K267" i="2"/>
  <c r="J267" i="2"/>
  <c r="L267" i="2"/>
  <c r="K266" i="2"/>
  <c r="J266" i="2"/>
  <c r="L266" i="2"/>
  <c r="K279" i="2"/>
  <c r="J279" i="2"/>
  <c r="L279" i="2"/>
  <c r="K278" i="2"/>
  <c r="J278" i="2"/>
  <c r="L278" i="2"/>
  <c r="K277" i="2"/>
  <c r="J277" i="2"/>
  <c r="L277" i="2"/>
  <c r="K276" i="2"/>
  <c r="J276" i="2"/>
  <c r="L276" i="2"/>
  <c r="K275" i="2"/>
  <c r="J275" i="2"/>
  <c r="L275" i="2"/>
  <c r="K274" i="2"/>
  <c r="J274" i="2"/>
  <c r="L274" i="2"/>
  <c r="K273" i="2"/>
  <c r="J273" i="2"/>
  <c r="L273" i="2"/>
  <c r="K287" i="2"/>
  <c r="J287" i="2"/>
  <c r="L287" i="2"/>
  <c r="K286" i="2"/>
  <c r="J286" i="2"/>
  <c r="L286" i="2"/>
  <c r="K284" i="2"/>
  <c r="J284" i="2"/>
  <c r="L284" i="2"/>
  <c r="K283" i="2"/>
  <c r="J283" i="2"/>
  <c r="L283" i="2"/>
  <c r="K282" i="2"/>
  <c r="J282" i="2"/>
  <c r="L282" i="2"/>
  <c r="K281" i="2"/>
  <c r="J281" i="2"/>
  <c r="L281" i="2"/>
  <c r="K280" i="2"/>
  <c r="J280" i="2"/>
  <c r="L280" i="2"/>
  <c r="K260" i="2"/>
  <c r="J260" i="2"/>
  <c r="L260" i="2"/>
  <c r="K259" i="2"/>
  <c r="J259" i="2"/>
  <c r="L259" i="2"/>
  <c r="K264" i="2"/>
  <c r="J264" i="2"/>
  <c r="L264" i="2"/>
  <c r="K263" i="2"/>
  <c r="J263" i="2"/>
  <c r="L263" i="2"/>
  <c r="K258" i="2"/>
  <c r="J258" i="2"/>
  <c r="L258" i="2"/>
  <c r="K257" i="2"/>
  <c r="J257" i="2"/>
  <c r="L257" i="2"/>
  <c r="K285" i="2"/>
  <c r="J285" i="2"/>
  <c r="L285" i="2"/>
  <c r="K272" i="2"/>
  <c r="J272" i="2"/>
  <c r="L272" i="2"/>
  <c r="K265" i="2"/>
  <c r="J265" i="2"/>
  <c r="L265" i="2"/>
  <c r="K262" i="2"/>
  <c r="J262" i="2"/>
  <c r="L262" i="2"/>
  <c r="K261" i="2"/>
  <c r="J261" i="2"/>
  <c r="L261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88" i="2"/>
  <c r="J288" i="2"/>
  <c r="L288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55" i="2"/>
  <c r="J247" i="2"/>
  <c r="J248" i="2"/>
  <c r="J249" i="2"/>
  <c r="J250" i="2"/>
  <c r="J251" i="2"/>
  <c r="J252" i="2"/>
  <c r="J253" i="2"/>
  <c r="J254" i="2"/>
  <c r="J239" i="2"/>
  <c r="J240" i="2"/>
  <c r="J243" i="2"/>
  <c r="J241" i="2"/>
  <c r="J242" i="2"/>
  <c r="J244" i="2"/>
  <c r="J245" i="2"/>
  <c r="J246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55" i="2"/>
  <c r="L247" i="2"/>
  <c r="L248" i="2"/>
  <c r="L249" i="2"/>
  <c r="L250" i="2"/>
  <c r="L251" i="2"/>
  <c r="L252" i="2"/>
  <c r="L253" i="2"/>
  <c r="L254" i="2"/>
  <c r="L239" i="2"/>
  <c r="L240" i="2"/>
  <c r="L243" i="2"/>
  <c r="L241" i="2"/>
  <c r="L242" i="2"/>
  <c r="L244" i="2"/>
  <c r="L245" i="2"/>
  <c r="L246" i="2"/>
  <c r="J2" i="2"/>
  <c r="L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  <author>usuario</author>
    <author>user</author>
    <author>sebastian buitrago ortegon</author>
  </authors>
  <commentList>
    <comment ref="Y6" authorId="0" shapeId="0" xr:uid="{7975611F-B7F9-425C-8EB9-8E9C422A09FB}">
      <text>
        <r>
          <rPr>
            <b/>
            <sz val="9"/>
            <color indexed="81"/>
            <rFont val="Tahoma"/>
            <family val="2"/>
          </rPr>
          <t>TRANSPORTE INCLUÍDO</t>
        </r>
      </text>
    </comment>
    <comment ref="Y12" authorId="0" shapeId="0" xr:uid="{5447D5D4-6256-44BD-9BF9-41B4CAC94E70}">
      <text>
        <r>
          <rPr>
            <b/>
            <sz val="9"/>
            <color indexed="81"/>
            <rFont val="Tahoma"/>
            <family val="2"/>
          </rPr>
          <t>Incluye refrentado y compresión</t>
        </r>
      </text>
    </comment>
    <comment ref="B44" authorId="1" shapeId="0" xr:uid="{ED92510E-2656-4B02-A6E7-3F5816F4D603}">
      <text>
        <r>
          <rPr>
            <b/>
            <sz val="9"/>
            <color indexed="81"/>
            <rFont val="Tahoma"/>
            <family val="2"/>
          </rPr>
          <t xml:space="preserve">consolidómetro? PUJ 129000
</t>
        </r>
      </text>
    </comment>
    <comment ref="B89" authorId="1" shapeId="0" xr:uid="{BF3551CA-9089-4BF7-9541-BD0D60FCFD44}">
      <text>
        <r>
          <rPr>
            <b/>
            <sz val="9"/>
            <color indexed="81"/>
            <rFont val="Tahoma"/>
            <family val="2"/>
          </rPr>
          <t>Extracción cuantitativa del asfalto en mezclas en caliente</t>
        </r>
      </text>
    </comment>
    <comment ref="B338" authorId="2" shapeId="0" xr:uid="{DF38650E-C562-443F-9083-00DC7DFC29E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Tensión en varillas corrugadas (hasta 1/2")</t>
        </r>
      </text>
    </comment>
    <comment ref="B339" authorId="2" shapeId="0" xr:uid="{992DE0E8-DD79-47EA-8167-93C97C50EF7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Tensión en varillas corrugadas (desde 5/8" hasta 1")</t>
        </r>
      </text>
    </comment>
    <comment ref="O339" authorId="0" shapeId="0" xr:uid="{64BFD55E-CEDD-4525-83D9-C581E058B6B3}">
      <text>
        <r>
          <rPr>
            <b/>
            <sz val="9"/>
            <color indexed="81"/>
            <rFont val="Tahoma"/>
            <family val="2"/>
          </rPr>
          <t>5/8" - 3/4"</t>
        </r>
      </text>
    </comment>
    <comment ref="R339" authorId="0" shapeId="0" xr:uid="{082E50C4-D320-426C-9E59-A5CCF1C2A238}">
      <text>
        <r>
          <rPr>
            <b/>
            <sz val="9"/>
            <color indexed="81"/>
            <rFont val="Tahoma"/>
            <family val="2"/>
          </rPr>
          <t>5/8" - 3/4"</t>
        </r>
      </text>
    </comment>
    <comment ref="S339" authorId="0" shapeId="0" xr:uid="{0CD4D08E-1E72-499A-B6D8-DC291A1591BD}">
      <text>
        <r>
          <rPr>
            <b/>
            <sz val="9"/>
            <color indexed="81"/>
            <rFont val="Tahoma"/>
            <family val="2"/>
          </rPr>
          <t>5/8" - 3/4"</t>
        </r>
      </text>
    </comment>
    <comment ref="T339" authorId="0" shapeId="0" xr:uid="{A7499225-9FBD-4A14-940B-A601EF4ABE9A}">
      <text>
        <r>
          <rPr>
            <b/>
            <sz val="9"/>
            <color indexed="81"/>
            <rFont val="Tahoma"/>
            <family val="2"/>
          </rPr>
          <t>5/8" - 3/4"</t>
        </r>
      </text>
    </comment>
    <comment ref="V339" authorId="0" shapeId="0" xr:uid="{A78803CC-F106-437E-BE57-C20362E31DEA}">
      <text>
        <r>
          <rPr>
            <b/>
            <sz val="9"/>
            <color indexed="81"/>
            <rFont val="Tahoma"/>
            <family val="2"/>
          </rPr>
          <t>5/8" - 3/4"</t>
        </r>
      </text>
    </comment>
    <comment ref="W339" authorId="0" shapeId="0" xr:uid="{69411EB7-70EE-433F-87E2-C29F82E37F51}">
      <text>
        <r>
          <rPr>
            <b/>
            <sz val="9"/>
            <color indexed="81"/>
            <rFont val="Tahoma"/>
            <family val="2"/>
          </rPr>
          <t>5/8" - 3/4"</t>
        </r>
      </text>
    </comment>
    <comment ref="AA339" authorId="3" shapeId="0" xr:uid="{3B7F1D83-7E11-4F75-9045-A6628B69957B}">
      <text>
        <r>
          <rPr>
            <b/>
            <sz val="9"/>
            <color indexed="81"/>
            <rFont val="Tahoma"/>
            <family val="2"/>
          </rPr>
          <t>5/8" - 1"</t>
        </r>
      </text>
    </comment>
    <comment ref="AB339" authorId="3" shapeId="0" xr:uid="{EA2B9BB1-9338-479B-AC22-54892C857DCB}">
      <text>
        <r>
          <rPr>
            <b/>
            <sz val="9"/>
            <color indexed="81"/>
            <rFont val="Tahoma"/>
            <family val="2"/>
          </rPr>
          <t>5/8" - 1"</t>
        </r>
      </text>
    </comment>
    <comment ref="AC339" authorId="3" shapeId="0" xr:uid="{2EAA92FC-B370-4D0C-8D39-0F589B96897C}">
      <text>
        <r>
          <rPr>
            <b/>
            <sz val="9"/>
            <color indexed="81"/>
            <rFont val="Tahoma"/>
            <family val="2"/>
          </rPr>
          <t>5/8" - 1"</t>
        </r>
      </text>
    </comment>
    <comment ref="AD339" authorId="3" shapeId="0" xr:uid="{FCB1FE69-76F4-4145-AD83-D42DF2242476}">
      <text>
        <r>
          <rPr>
            <b/>
            <sz val="9"/>
            <color indexed="81"/>
            <rFont val="Tahoma"/>
            <family val="2"/>
          </rPr>
          <t>5/8" - 1"</t>
        </r>
      </text>
    </comment>
    <comment ref="AE339" authorId="3" shapeId="0" xr:uid="{BD8DA083-1A9F-4910-889D-3255E342BA96}">
      <text>
        <r>
          <rPr>
            <b/>
            <sz val="9"/>
            <color indexed="81"/>
            <rFont val="Tahoma"/>
            <family val="2"/>
          </rPr>
          <t>5/8" - 1"</t>
        </r>
      </text>
    </comment>
    <comment ref="B340" authorId="2" shapeId="0" xr:uid="{C726F21F-8813-40AB-92C4-E0B65ED912A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Tensión en varillas corrugadas (mayor a 1")</t>
        </r>
      </text>
    </comment>
    <comment ref="B341" authorId="2" shapeId="0" xr:uid="{FE0D67EE-BB24-4DC0-9251-4F23A9145C4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Doblamiento de acero (menor  1/2")
Doblamiento de acero (desde 5/8" hasta 1")</t>
        </r>
      </text>
    </comment>
  </commentList>
</comments>
</file>

<file path=xl/sharedStrings.xml><?xml version="1.0" encoding="utf-8"?>
<sst xmlns="http://schemas.openxmlformats.org/spreadsheetml/2006/main" count="8461" uniqueCount="2244">
  <si>
    <t>EMPRESA</t>
  </si>
  <si>
    <t>OBRA</t>
  </si>
  <si>
    <t>Equivalente de arena</t>
  </si>
  <si>
    <t>CODIGO</t>
  </si>
  <si>
    <t>ÍTEM</t>
  </si>
  <si>
    <t>DESCRIPCIÓN</t>
  </si>
  <si>
    <t>NORMA</t>
  </si>
  <si>
    <t>PRECIO LISTA</t>
  </si>
  <si>
    <t>3-3</t>
  </si>
  <si>
    <t>6-1</t>
  </si>
  <si>
    <t>9-6</t>
  </si>
  <si>
    <t>13-1</t>
  </si>
  <si>
    <t>14-1</t>
  </si>
  <si>
    <t>        1</t>
  </si>
  <si>
    <t>CONCRETOS</t>
  </si>
  <si>
    <t>Resistencia a la compresión de cilindros de concreto</t>
  </si>
  <si>
    <t>Extracción de núcleos de concreto de 4"</t>
  </si>
  <si>
    <t>Corte de núcleos</t>
  </si>
  <si>
    <t>Resistencia a la compresión de núcleos (incluye refrentado)</t>
  </si>
  <si>
    <t>Densidad, absorción y contenido de vacíos permeables</t>
  </si>
  <si>
    <t>Contenido de cemento en concreto endurecido</t>
  </si>
  <si>
    <t>Absorción de energía - Tenacidad</t>
  </si>
  <si>
    <t>SUELOS</t>
  </si>
  <si>
    <t>Límite líquido, plástico e índice de plasticidad</t>
  </si>
  <si>
    <t>Expansión libre en probeta</t>
  </si>
  <si>
    <t>ASFALTOS Y MEZCLAS ASFÁLTICAS</t>
  </si>
  <si>
    <t>Compactación de briquetas tipo Marshall</t>
  </si>
  <si>
    <t>Estabilidad - Flujo</t>
  </si>
  <si>
    <t>Contenido de asfalto (Extracción)</t>
  </si>
  <si>
    <t>Análisis granulométrico de muestra de extracción</t>
  </si>
  <si>
    <t>Extracción de panelas</t>
  </si>
  <si>
    <t>Extracción de núcleos</t>
  </si>
  <si>
    <t>Adherencia en bandeja</t>
  </si>
  <si>
    <t>Gravedad específica Bulk y densidad de mezclas asfálticas compactadas no absorbentes</t>
  </si>
  <si>
    <t>AGREGADOS PÉTREOS</t>
  </si>
  <si>
    <t>Contenido de materia orgánica por colorimetría</t>
  </si>
  <si>
    <t>NTC 127</t>
  </si>
  <si>
    <t>Determinación de la masa unitaria y los vacíos entre partículas de agregados</t>
  </si>
  <si>
    <t>Gravedad específica y absorción de agregados gruesos</t>
  </si>
  <si>
    <t>Gravedad específica y absorción de agregados finos</t>
  </si>
  <si>
    <t>Determinación de terrones de arcilla y partículas deleznables</t>
  </si>
  <si>
    <t>Sanidad de los agregados frente a la acción de soluciones de sulfato de sodio o magnesio - Solidez (5 ciclos)</t>
  </si>
  <si>
    <t>Porcentaje de caras fracturadas</t>
  </si>
  <si>
    <t>Índice de aplanamiento y alargamiento</t>
  </si>
  <si>
    <t>Resistencia al desgaste de los agregados en la Máquina de los Ángeles (sin trituración)</t>
  </si>
  <si>
    <t>Resistencia al desgaste de los agregados en la Máquina de los Ángeles (con trituración)</t>
  </si>
  <si>
    <t>Resistencia del agregado grueso al desgaste por abrasión con aparato Microdeval</t>
  </si>
  <si>
    <t>Valoración de elementos arcillosos por medio del azul de metileno</t>
  </si>
  <si>
    <t>MAMPOSTERÍA</t>
  </si>
  <si>
    <t>Compresión de muretes sencillos</t>
  </si>
  <si>
    <t>MORTERO</t>
  </si>
  <si>
    <t>Diseño de mezcla de mortero</t>
  </si>
  <si>
    <t>Resistencia a la compresión de cilindros de mortero de cemento hidráulico</t>
  </si>
  <si>
    <t>Resistencia a la compresión de cubos de mortero</t>
  </si>
  <si>
    <t>TRANSPORTE</t>
  </si>
  <si>
    <t>8A</t>
  </si>
  <si>
    <t>ALQUILER DE EQUIPOS</t>
  </si>
  <si>
    <r>
      <t xml:space="preserve">Día molde cilíndrico para ensayo de resistencia a compresión de mortero. </t>
    </r>
    <r>
      <rPr>
        <sz val="10"/>
        <color theme="1"/>
        <rFont val="Calibri"/>
        <family val="2"/>
      </rPr>
      <t>Ø</t>
    </r>
    <r>
      <rPr>
        <sz val="10"/>
        <color theme="1"/>
        <rFont val="Arial"/>
        <family val="2"/>
      </rPr>
      <t>=3"</t>
    </r>
  </si>
  <si>
    <t>Día aerómetro de presión (olla contenido de aire)</t>
  </si>
  <si>
    <t>8V</t>
  </si>
  <si>
    <t>VENTA DE EQUIPOS</t>
  </si>
  <si>
    <t>Molde de vigas para ensayo de resistencia a flexión de concreto</t>
  </si>
  <si>
    <t>Cono de Abrams</t>
  </si>
  <si>
    <t>Varilla compactadora</t>
  </si>
  <si>
    <t>Cuchara Toma Muestra Concreto</t>
  </si>
  <si>
    <t>SISTEMA DE ANCLAJES PARA CONCRETO Y MAMPOSTERIA</t>
  </si>
  <si>
    <t>Anclaje con broca de 1/4"</t>
  </si>
  <si>
    <t>Anclaje con broca de 3/8"</t>
  </si>
  <si>
    <t>Anclaje con broca de 1/2"</t>
  </si>
  <si>
    <t>Anclaje con broca de 5/8"</t>
  </si>
  <si>
    <t>Anclaje con broca de 3/4"</t>
  </si>
  <si>
    <t>Anclaje con broca de 7/8"</t>
  </si>
  <si>
    <t>Anclaje con broca de 1"</t>
  </si>
  <si>
    <t>Anclaje con broca de 1 1/4"</t>
  </si>
  <si>
    <t xml:space="preserve">Perforación con broca de 1 1/2’’          </t>
  </si>
  <si>
    <t xml:space="preserve">Perforación con broca de 2’’          </t>
  </si>
  <si>
    <t xml:space="preserve">Perforación con broca de 2 1/2’’          </t>
  </si>
  <si>
    <t xml:space="preserve">Perforación con broca de 3’’          </t>
  </si>
  <si>
    <t xml:space="preserve">Perforación con broca de 3 1/2’’          </t>
  </si>
  <si>
    <t xml:space="preserve">Perforación con broca de 4’’          </t>
  </si>
  <si>
    <t xml:space="preserve">Perforación con broca de 4 1/2’’          </t>
  </si>
  <si>
    <t xml:space="preserve">Perforación con broca de 5’’          </t>
  </si>
  <si>
    <t xml:space="preserve">Perforación con broca de 5 1/2’’          </t>
  </si>
  <si>
    <t xml:space="preserve">Perforación con broca de 6’’          </t>
  </si>
  <si>
    <t xml:space="preserve">Perforación con broca de 7’’          </t>
  </si>
  <si>
    <t xml:space="preserve">Perforación con broca de 8’’          </t>
  </si>
  <si>
    <t>11L</t>
  </si>
  <si>
    <t>ASESORÍA EN OBRA - LABORATORISTA</t>
  </si>
  <si>
    <t>Día personal calificado en ciudad de Barrancabermeja y aledaños</t>
  </si>
  <si>
    <t>Día personal calificado en ciudad de Bogotá y aledaños</t>
  </si>
  <si>
    <t>Día personal calificado en ciudad de Cúcuta y aledaños</t>
  </si>
  <si>
    <t>Día personal calificado en municipio de La Lizama</t>
  </si>
  <si>
    <t>Día personal calificado en ciudad de Málaga y aledaños</t>
  </si>
  <si>
    <t>Día personal calificado en proyecto Embalse de Bucaramanga - Río Tona</t>
  </si>
  <si>
    <t>11A</t>
  </si>
  <si>
    <t>ASESORÍA EN OBRA - AUXILIAR</t>
  </si>
  <si>
    <t>CEMENTO</t>
  </si>
  <si>
    <t>Finura - Aparato de Blaine</t>
  </si>
  <si>
    <t>Peso específico del cemento</t>
  </si>
  <si>
    <t>Finura de adición sobre tamiz No. 325</t>
  </si>
  <si>
    <t>Tiempo de fraguado - Método de agujas de Vicat</t>
  </si>
  <si>
    <t>Ensayos químicos - Óxidos de Magnesio</t>
  </si>
  <si>
    <t>Ensayos químicos - Aluminato Tricálcico</t>
  </si>
  <si>
    <t>Ensayos químicos - Trióxido de Azufre</t>
  </si>
  <si>
    <t>ACERO</t>
  </si>
  <si>
    <t>ENSAYOS NO DESTRUCTIVOS</t>
  </si>
  <si>
    <t>Esclerometría (1 punto: 20 lecturas)</t>
  </si>
  <si>
    <t>Ferroscan / Geo - radar</t>
  </si>
  <si>
    <t>Ultrasonido</t>
  </si>
  <si>
    <t>Carbonatación</t>
  </si>
  <si>
    <t>CANTIDAD ENSAYOS</t>
  </si>
  <si>
    <t>CODIGO ENSAYO</t>
  </si>
  <si>
    <t>9-1</t>
  </si>
  <si>
    <t>9-2</t>
  </si>
  <si>
    <t>9-3</t>
  </si>
  <si>
    <t>9-4</t>
  </si>
  <si>
    <t>9-5</t>
  </si>
  <si>
    <t>9-7</t>
  </si>
  <si>
    <t>9-8</t>
  </si>
  <si>
    <t>TRANSPORTE FECHA</t>
  </si>
  <si>
    <t>NOMBRE DEL ENSAYO</t>
  </si>
  <si>
    <t>No. DE REMISION</t>
  </si>
  <si>
    <t>12-1</t>
  </si>
  <si>
    <t>1-1</t>
  </si>
  <si>
    <t>1-10</t>
  </si>
  <si>
    <t>1-2</t>
  </si>
  <si>
    <t>1-3</t>
  </si>
  <si>
    <t>1-3-1</t>
  </si>
  <si>
    <t>1-3-2</t>
  </si>
  <si>
    <t>1-3-3</t>
  </si>
  <si>
    <t>1-4</t>
  </si>
  <si>
    <t>1-5</t>
  </si>
  <si>
    <t>1-6</t>
  </si>
  <si>
    <t>1-7</t>
  </si>
  <si>
    <t>1-8</t>
  </si>
  <si>
    <t>1-9</t>
  </si>
  <si>
    <t>1-11</t>
  </si>
  <si>
    <t>2-1</t>
  </si>
  <si>
    <t>2-2</t>
  </si>
  <si>
    <t>2-3</t>
  </si>
  <si>
    <t>2-4</t>
  </si>
  <si>
    <t>2-5</t>
  </si>
  <si>
    <t>2-6</t>
  </si>
  <si>
    <t>2-7</t>
  </si>
  <si>
    <t>2-8</t>
  </si>
  <si>
    <t>2-9</t>
  </si>
  <si>
    <t>2-10</t>
  </si>
  <si>
    <t>2.11</t>
  </si>
  <si>
    <t>3-1</t>
  </si>
  <si>
    <t>3-2</t>
  </si>
  <si>
    <t>3-4</t>
  </si>
  <si>
    <t>3-5</t>
  </si>
  <si>
    <t>3-6</t>
  </si>
  <si>
    <t>3-7</t>
  </si>
  <si>
    <t>3-8</t>
  </si>
  <si>
    <t>3-9</t>
  </si>
  <si>
    <t>4-1</t>
  </si>
  <si>
    <t>4-2</t>
  </si>
  <si>
    <t>4-3</t>
  </si>
  <si>
    <t>4-4</t>
  </si>
  <si>
    <t>4-5</t>
  </si>
  <si>
    <t>4-7</t>
  </si>
  <si>
    <t>4-8</t>
  </si>
  <si>
    <t>4-9</t>
  </si>
  <si>
    <t>4-10</t>
  </si>
  <si>
    <t>4-11</t>
  </si>
  <si>
    <t>4-12</t>
  </si>
  <si>
    <t>4-13</t>
  </si>
  <si>
    <t>4-14</t>
  </si>
  <si>
    <t>4-15</t>
  </si>
  <si>
    <t>5-1</t>
  </si>
  <si>
    <t>5-2</t>
  </si>
  <si>
    <t>5-3</t>
  </si>
  <si>
    <t>6-2</t>
  </si>
  <si>
    <t>6-3</t>
  </si>
  <si>
    <t>7-1</t>
  </si>
  <si>
    <t>7-2</t>
  </si>
  <si>
    <t>7-3</t>
  </si>
  <si>
    <t>7-4</t>
  </si>
  <si>
    <t>8-1A</t>
  </si>
  <si>
    <t>8-2A</t>
  </si>
  <si>
    <t>8-3A</t>
  </si>
  <si>
    <t>8-4A</t>
  </si>
  <si>
    <t>8-5A</t>
  </si>
  <si>
    <t>8-1V</t>
  </si>
  <si>
    <t>8-2V</t>
  </si>
  <si>
    <t>8-3V</t>
  </si>
  <si>
    <t>8-4V</t>
  </si>
  <si>
    <t>8-10V</t>
  </si>
  <si>
    <t>8-11V</t>
  </si>
  <si>
    <t>8-12V</t>
  </si>
  <si>
    <t>10-1</t>
  </si>
  <si>
    <t>10-2</t>
  </si>
  <si>
    <t>10-3</t>
  </si>
  <si>
    <t>10-4</t>
  </si>
  <si>
    <t>10-5</t>
  </si>
  <si>
    <t>10-6</t>
  </si>
  <si>
    <t>10-7</t>
  </si>
  <si>
    <t>10-8</t>
  </si>
  <si>
    <t>10-9</t>
  </si>
  <si>
    <t>10-10</t>
  </si>
  <si>
    <t>10-11</t>
  </si>
  <si>
    <t>10-12</t>
  </si>
  <si>
    <t>11-1L</t>
  </si>
  <si>
    <t>11-2L</t>
  </si>
  <si>
    <t>11-3L</t>
  </si>
  <si>
    <t>11-4L</t>
  </si>
  <si>
    <t>11-5L</t>
  </si>
  <si>
    <t>11-6L</t>
  </si>
  <si>
    <t>11-7L</t>
  </si>
  <si>
    <t>11-8L</t>
  </si>
  <si>
    <t>11-1A</t>
  </si>
  <si>
    <t>11-2A</t>
  </si>
  <si>
    <t>11-3A</t>
  </si>
  <si>
    <t>11-4A</t>
  </si>
  <si>
    <t>11-5A</t>
  </si>
  <si>
    <t>11-6A</t>
  </si>
  <si>
    <t>11-7A</t>
  </si>
  <si>
    <t>12-2</t>
  </si>
  <si>
    <t>12-3</t>
  </si>
  <si>
    <t>12-4</t>
  </si>
  <si>
    <t>12-5</t>
  </si>
  <si>
    <t>12-6</t>
  </si>
  <si>
    <t>12-7</t>
  </si>
  <si>
    <t>13-2</t>
  </si>
  <si>
    <t>13-3</t>
  </si>
  <si>
    <t>13-4</t>
  </si>
  <si>
    <t>13-6</t>
  </si>
  <si>
    <t>14-2</t>
  </si>
  <si>
    <t>14-3</t>
  </si>
  <si>
    <t>14-4</t>
  </si>
  <si>
    <t>19-1</t>
  </si>
  <si>
    <t>18-1</t>
  </si>
  <si>
    <t>21-1</t>
  </si>
  <si>
    <t>22-1</t>
  </si>
  <si>
    <t>OBSERVACIONES</t>
  </si>
  <si>
    <t>CONCATENAR</t>
  </si>
  <si>
    <t>16-1</t>
  </si>
  <si>
    <t>1-3-4</t>
  </si>
  <si>
    <t xml:space="preserve">Extracción de núcleos de concreto de 2 1/2" Sin compresion </t>
  </si>
  <si>
    <t>Contenido de Humedad</t>
  </si>
  <si>
    <t>11,1,1L</t>
  </si>
  <si>
    <t>11,1,2L</t>
  </si>
  <si>
    <t>Hora extra nocturna personal calificado en obra - Laboratorista</t>
  </si>
  <si>
    <t>7-5</t>
  </si>
  <si>
    <t>23-1</t>
  </si>
  <si>
    <t>25-1</t>
  </si>
  <si>
    <t>26-1</t>
  </si>
  <si>
    <t>Columna1</t>
  </si>
  <si>
    <t>Columna2</t>
  </si>
  <si>
    <t>1</t>
  </si>
  <si>
    <t>10</t>
  </si>
  <si>
    <t>12</t>
  </si>
  <si>
    <t>27-1</t>
  </si>
  <si>
    <t>21-2</t>
  </si>
  <si>
    <t>26-2</t>
  </si>
  <si>
    <t>MES</t>
  </si>
  <si>
    <t>8-6A</t>
  </si>
  <si>
    <t>11-9L</t>
  </si>
  <si>
    <t>11B</t>
  </si>
  <si>
    <t>11-1B</t>
  </si>
  <si>
    <t>11-2B</t>
  </si>
  <si>
    <t>11-3B</t>
  </si>
  <si>
    <t>11-4B</t>
  </si>
  <si>
    <t>ASESORÍA EN OBRA - LABORATORISTA MES</t>
  </si>
  <si>
    <t>Mes personal calificado en ciudad de Barrancabermeja y aledaños</t>
  </si>
  <si>
    <t>Mes personal calificado en ciudad de Bogotá y aledaños</t>
  </si>
  <si>
    <t>Mes personal calificado en ciudad de Cúcuta y aledaños</t>
  </si>
  <si>
    <t>N/A</t>
  </si>
  <si>
    <t>NTC 673 - 2010</t>
  </si>
  <si>
    <t>NTC 3658 - 1994</t>
  </si>
  <si>
    <t>NTC 3692 - 1995</t>
  </si>
  <si>
    <t>NTC 2871 - 2004</t>
  </si>
  <si>
    <t>NTC 5721 - 2009</t>
  </si>
  <si>
    <t>INV-E 122-2013</t>
  </si>
  <si>
    <t>INV-E 125-126-2013</t>
  </si>
  <si>
    <t>INV-E 213-2013</t>
  </si>
  <si>
    <t>INV-E 123-2013</t>
  </si>
  <si>
    <t>INV-E 142-2013</t>
  </si>
  <si>
    <t>INV-E 161-2013</t>
  </si>
  <si>
    <t>Diseño de Mezclas de Suelo - Cemento sin Prueba de Durabilidad</t>
  </si>
  <si>
    <t>Relación de soporte del suelo CBR (Método I) (Incluye Proctor Gravedad Especifica y % de Fracciones Finas y Gruesas)</t>
  </si>
  <si>
    <t>INV-E 148-2013</t>
  </si>
  <si>
    <t xml:space="preserve">Compresion Inconfinada </t>
  </si>
  <si>
    <t>INV-E 152-2013</t>
  </si>
  <si>
    <t>2-12</t>
  </si>
  <si>
    <t>2-13</t>
  </si>
  <si>
    <t>2-14</t>
  </si>
  <si>
    <t>2-15</t>
  </si>
  <si>
    <t>2-16</t>
  </si>
  <si>
    <t>2-17</t>
  </si>
  <si>
    <t>2-18</t>
  </si>
  <si>
    <t>2-21</t>
  </si>
  <si>
    <t>2-22</t>
  </si>
  <si>
    <t>2-23</t>
  </si>
  <si>
    <t>2-24</t>
  </si>
  <si>
    <t>2-25</t>
  </si>
  <si>
    <t>Peso Unitario</t>
  </si>
  <si>
    <t xml:space="preserve">Limite de Contraccion </t>
  </si>
  <si>
    <t>INV-E 127-2013</t>
  </si>
  <si>
    <t>INV-E 121-2013</t>
  </si>
  <si>
    <t>Contenido Organico de un Suelo Mediante el Ensayo de Perdida por Ignición</t>
  </si>
  <si>
    <t>INV-E 101-2007</t>
  </si>
  <si>
    <t>ENSAYOS SOBRE ROCAS</t>
  </si>
  <si>
    <t>15-1</t>
  </si>
  <si>
    <t xml:space="preserve">Compresion Simple en Nucleo de Roca </t>
  </si>
  <si>
    <t>ASTDM D 3148 - 2002</t>
  </si>
  <si>
    <t>INV E 738-2013</t>
  </si>
  <si>
    <t>Inmersión - Compresión Sobre Mezclas Asfalticas en Caliente (6 Briquetas)</t>
  </si>
  <si>
    <t>INV E 748-2013</t>
  </si>
  <si>
    <t>INV E 732-2013</t>
  </si>
  <si>
    <t>INV E 782-2013</t>
  </si>
  <si>
    <t>INV E 758-2013</t>
  </si>
  <si>
    <t>3-10</t>
  </si>
  <si>
    <t>3-11</t>
  </si>
  <si>
    <t xml:space="preserve">Traccion Indirecta en Seco por Briqueta (no Incluye Elaboracion) </t>
  </si>
  <si>
    <t>INV E 725 - 2013</t>
  </si>
  <si>
    <t>3-12</t>
  </si>
  <si>
    <t xml:space="preserve">Traccion Indirecta en Inmersion por Briqueta (no Incluye Elaboracion) </t>
  </si>
  <si>
    <t>NTC 176-1995</t>
  </si>
  <si>
    <t>INV E 223 - 2013</t>
  </si>
  <si>
    <t>NTC 237-1995</t>
  </si>
  <si>
    <t>INV E 222 - 2013</t>
  </si>
  <si>
    <t>INV E 211 - 2013</t>
  </si>
  <si>
    <t>INV E 239 - 2013</t>
  </si>
  <si>
    <t>INV E 220 - 2013</t>
  </si>
  <si>
    <t>INV E 133 - 2013</t>
  </si>
  <si>
    <t>INV E 227 - 2013</t>
  </si>
  <si>
    <t>INV E 230 - 2013</t>
  </si>
  <si>
    <t>INV E 218 - 2013</t>
  </si>
  <si>
    <t>INV E 219 - 2013</t>
  </si>
  <si>
    <t>INV E 238 - 2013</t>
  </si>
  <si>
    <t>INV E 235 - 2013</t>
  </si>
  <si>
    <t>4-16</t>
  </si>
  <si>
    <t xml:space="preserve">Determinacion del Valor 10% finos </t>
  </si>
  <si>
    <t>INV E 224 - 2013</t>
  </si>
  <si>
    <t>INV-E 172-2013</t>
  </si>
  <si>
    <t>Penetrometro Dinamico de Cono en Aplicaciones de Pavimento a Poca Profundidad</t>
  </si>
  <si>
    <t>INV-E 240-2013</t>
  </si>
  <si>
    <t>Proporcion de Particulas Planas, Alargadas o Planas y Alargadas en Agregados Gruesos</t>
  </si>
  <si>
    <t>NTC 92 - 1995</t>
  </si>
  <si>
    <t>NTC 77 - 2007</t>
  </si>
  <si>
    <t>Lavado Sobre el Tamiz 75um (200)  en Agregados Minerales</t>
  </si>
  <si>
    <t>NTC 78 - 1995</t>
  </si>
  <si>
    <t>NTC 4630 - 1999</t>
  </si>
  <si>
    <t>14-5</t>
  </si>
  <si>
    <t>Determinacion de Dureza con Durometro (Propiedades de Caucho)</t>
  </si>
  <si>
    <t>NTC 467 - 2006</t>
  </si>
  <si>
    <t>NTC 5806 - 2010</t>
  </si>
  <si>
    <t>NTC 2289 - 2015</t>
  </si>
  <si>
    <t>NTC 4017 - 2005</t>
  </si>
  <si>
    <t>NTC 3495 - 2003</t>
  </si>
  <si>
    <t>5-4</t>
  </si>
  <si>
    <t>NTC 2017 - 2005</t>
  </si>
  <si>
    <t>5-5</t>
  </si>
  <si>
    <t>NTC 220 - 2004</t>
  </si>
  <si>
    <t>NTC 33 - 1997</t>
  </si>
  <si>
    <t>NTC 221 - 1999</t>
  </si>
  <si>
    <t>NTC 294 - 2005</t>
  </si>
  <si>
    <t>12-8</t>
  </si>
  <si>
    <t>Finura de adición sobre tamiz No. 200</t>
  </si>
  <si>
    <t>12-9</t>
  </si>
  <si>
    <t xml:space="preserve">Fraguado Rapido del Cemento Hidraulico </t>
  </si>
  <si>
    <t>NTC 297 - 1997</t>
  </si>
  <si>
    <t>NTC 118 - 2004</t>
  </si>
  <si>
    <t>Consistencia Normal del Cemento Hidraulico</t>
  </si>
  <si>
    <t>NTC 110 - 2013</t>
  </si>
  <si>
    <t>NTC 4325 - 1997</t>
  </si>
  <si>
    <t>UNE - 011 - 1997</t>
  </si>
  <si>
    <t>Regatas para Verificacion de Diametros y Recubrimiento de Aceros</t>
  </si>
  <si>
    <t>14-6</t>
  </si>
  <si>
    <t>14-7</t>
  </si>
  <si>
    <t>14-8</t>
  </si>
  <si>
    <t>28-1</t>
  </si>
  <si>
    <t>Características físicas en aceros</t>
  </si>
  <si>
    <t>8-7A</t>
  </si>
  <si>
    <r>
      <t xml:space="preserve">Mes molde cilíndrico para ensayo de resistencia a compresión de concreto. </t>
    </r>
    <r>
      <rPr>
        <sz val="10"/>
        <color theme="1"/>
        <rFont val="Calibri"/>
        <family val="2"/>
      </rPr>
      <t>Ø</t>
    </r>
    <r>
      <rPr>
        <sz val="10"/>
        <color theme="1"/>
        <rFont val="Arial"/>
        <family val="2"/>
      </rPr>
      <t>=4" -  Ø=6" (un)</t>
    </r>
  </si>
  <si>
    <t>Dia Alquiler Equipó Varios (Validacion diseños) ciudad de Bucaramanga y aledaños</t>
  </si>
  <si>
    <t>Dia Alquiler Equipó Varios (Validacion diseños) ciudad de Cucuta y aledaños</t>
  </si>
  <si>
    <t>2</t>
  </si>
  <si>
    <t>8-8A</t>
  </si>
  <si>
    <t>Mes mezcladora de Concreto 1/2 bulto</t>
  </si>
  <si>
    <t>8-9A</t>
  </si>
  <si>
    <t>MES: Equipo menor para validación de mezclas.  Incluye: estufa, balanza, platones, cuñetes, probetas, cucharas, varillas y martillo de compactación ciudad de Ibague</t>
  </si>
  <si>
    <t>3</t>
  </si>
  <si>
    <t>4</t>
  </si>
  <si>
    <t>8-10A</t>
  </si>
  <si>
    <r>
      <t xml:space="preserve">Día molde cilíndrico para ensayo de resistencia a compresión de concreto. </t>
    </r>
    <r>
      <rPr>
        <sz val="10"/>
        <color theme="1"/>
        <rFont val="Calibri"/>
        <family val="2"/>
      </rPr>
      <t>Ø</t>
    </r>
    <r>
      <rPr>
        <sz val="10"/>
        <color theme="1"/>
        <rFont val="Arial"/>
        <family val="2"/>
      </rPr>
      <t>=6" - Ø=4"</t>
    </r>
  </si>
  <si>
    <t>Flexion de Ladrillos y Adoquines en concreto</t>
  </si>
  <si>
    <t xml:space="preserve">Resistencia a la Abrasión en Adoquines </t>
  </si>
  <si>
    <t xml:space="preserve">Transporte por viaje </t>
  </si>
  <si>
    <t>8-13V</t>
  </si>
  <si>
    <r>
      <t xml:space="preserve">Molde cilíndrico metálico para ensayo de resistencia a compresión de concreto. </t>
    </r>
    <r>
      <rPr>
        <sz val="10"/>
        <color theme="1"/>
        <rFont val="Calibri"/>
        <family val="2"/>
      </rPr>
      <t>Ø</t>
    </r>
    <r>
      <rPr>
        <sz val="10"/>
        <color theme="1"/>
        <rFont val="Arial"/>
        <family val="2"/>
      </rPr>
      <t>=6"</t>
    </r>
  </si>
  <si>
    <r>
      <t xml:space="preserve">Molde cilíndrico metálico para ensayo de resistencia a compresión de concreto. </t>
    </r>
    <r>
      <rPr>
        <sz val="10"/>
        <color theme="1"/>
        <rFont val="Calibri"/>
        <family val="2"/>
      </rPr>
      <t>Ø</t>
    </r>
    <r>
      <rPr>
        <sz val="10"/>
        <color theme="1"/>
        <rFont val="Arial"/>
        <family val="2"/>
      </rPr>
      <t>=4"</t>
    </r>
  </si>
  <si>
    <r>
      <t xml:space="preserve">Molde cilíndrico metálico para ensayo de resistencia a compresión de mortero. </t>
    </r>
    <r>
      <rPr>
        <sz val="10"/>
        <color theme="1"/>
        <rFont val="Calibri"/>
        <family val="2"/>
      </rPr>
      <t>Ø</t>
    </r>
    <r>
      <rPr>
        <sz val="10"/>
        <color theme="1"/>
        <rFont val="Arial"/>
        <family val="2"/>
      </rPr>
      <t>=3"</t>
    </r>
  </si>
  <si>
    <t>Molde cilíndrico plástico para ensayo de resistencia a compresión de concreto. Ø=4"</t>
  </si>
  <si>
    <t>Resistencia a la compresión de cilindros de mortero</t>
  </si>
  <si>
    <t>1-12</t>
  </si>
  <si>
    <t>1-13</t>
  </si>
  <si>
    <t>Resistencia a la compresión de cubos de mortero, incluye elaboración (serie de 9)</t>
  </si>
  <si>
    <t>NTC 3546-2003</t>
  </si>
  <si>
    <t>NTC 220-2004</t>
  </si>
  <si>
    <t>Módulo de rotura en vigas, con carga en los tercios</t>
  </si>
  <si>
    <t>Diseño de mezclas de mortero</t>
  </si>
  <si>
    <t>Apique en material granular (metro lineal)</t>
  </si>
  <si>
    <t>Día cono de Abrams</t>
  </si>
  <si>
    <t>5</t>
  </si>
  <si>
    <t>Determinacion del contenido en agregados finos no compactados Angularidad</t>
  </si>
  <si>
    <t>0-1</t>
  </si>
  <si>
    <t>2-7-1</t>
  </si>
  <si>
    <t>PERFORACIONES (NÚCLEOS) EN CONCRETO Y MAMPOSTERÍA CM</t>
  </si>
  <si>
    <t>6</t>
  </si>
  <si>
    <t>1-2-1</t>
  </si>
  <si>
    <t>Diseño de mezclas para dos agregados (caracterizacion)</t>
  </si>
  <si>
    <t>Diseño de mezclas para dos agregados  (sin caracterizacion)</t>
  </si>
  <si>
    <t>1-14</t>
  </si>
  <si>
    <t>Módulo de rotura enelementos concretos (Flexion)</t>
  </si>
  <si>
    <t>Absorción de bloques, ladrillos y adoquines arcilla</t>
  </si>
  <si>
    <t>5-6</t>
  </si>
  <si>
    <t>5-7</t>
  </si>
  <si>
    <t>Extracción de núcleos de concreto de para ensayo de reisistencia 2" a 3"</t>
  </si>
  <si>
    <t>13-7</t>
  </si>
  <si>
    <t>Doblamiento de acero (mayor a 1"")</t>
  </si>
  <si>
    <t>9</t>
  </si>
  <si>
    <t>UNION TEMPORAL SAN BERNARDO</t>
  </si>
  <si>
    <t>Transporte por viaje - san bernardo concretos</t>
  </si>
  <si>
    <t>PAVIMENTACION GUAMO</t>
  </si>
  <si>
    <t>Gravedad específica Máxima de mezclas asfálticas para pavimentos (método rice) por punto.</t>
  </si>
  <si>
    <t>INV E 735 - 2013</t>
  </si>
  <si>
    <t>3-13</t>
  </si>
  <si>
    <t>Transporte por viaje - Guamo</t>
  </si>
  <si>
    <t>3-14</t>
  </si>
  <si>
    <t>Densidad y Espesores Nucleos asfálticos</t>
  </si>
  <si>
    <t>INV E 733-2013--744-2013</t>
  </si>
  <si>
    <t>1-15</t>
  </si>
  <si>
    <t>Extracción, corte y resistencia a la compresión de núcleos en artesas de concreto</t>
  </si>
  <si>
    <t>NTC 3658-1994</t>
  </si>
  <si>
    <t>Densidad y peso unitario del suelo en el terreno por método del cono de arena (menos de 5 unidades)</t>
  </si>
  <si>
    <t>Medida del potencial de colapso de un suelo parcial mente saturado  (no incluye densidad seca maxima)</t>
  </si>
  <si>
    <t>INV-E 157-2013</t>
  </si>
  <si>
    <t>Cantidad de particulas livianas en un agregado petreo</t>
  </si>
  <si>
    <t>INV-E 221-2013</t>
  </si>
  <si>
    <t>Sondeos con barreno manual , metro lineal de exploración (ml)</t>
  </si>
  <si>
    <t>INV-E 110-2013</t>
  </si>
  <si>
    <t>Perforaciones por rotación con broca, metro lineal</t>
  </si>
  <si>
    <t>INV-E 108-2013</t>
  </si>
  <si>
    <t>Perforaciones por percusión y lavado en suelos, metro lineal</t>
  </si>
  <si>
    <t>INV-E 154-2013</t>
  </si>
  <si>
    <t>Contenido de sales solubles</t>
  </si>
  <si>
    <t>INV-E 158-2013</t>
  </si>
  <si>
    <t>Contenido de sulfatos (Incluye preparación de muestra)</t>
  </si>
  <si>
    <t>INV-E 233-2013</t>
  </si>
  <si>
    <t>2-26</t>
  </si>
  <si>
    <t>2-27</t>
  </si>
  <si>
    <t>2-28</t>
  </si>
  <si>
    <t>2-5-1</t>
  </si>
  <si>
    <t>Densidad y peso unitario del suelo en el terreno por método del cono de arena (Más de 5 unidades)</t>
  </si>
  <si>
    <t>Relación de soporte del suelo CBR (Método I)  (No incluye Próctor)</t>
  </si>
  <si>
    <t>2-9-1</t>
  </si>
  <si>
    <t>7-8</t>
  </si>
  <si>
    <t>7-9</t>
  </si>
  <si>
    <t>Frente 2 y 3</t>
  </si>
  <si>
    <t>1-2-2</t>
  </si>
  <si>
    <t>Diseño de mezclas para dos agregados  (Validacion aditivos)</t>
  </si>
  <si>
    <t>3-15</t>
  </si>
  <si>
    <t>Extracción, corte y resistencia a la compresión de núcleos de concreto de 2 1/2 y 3" (incluye refrentado)</t>
  </si>
  <si>
    <t>Extracción de núcleos de concreto de 2"  mas Compresion</t>
  </si>
  <si>
    <t xml:space="preserve">Analisis Granulometríco de los Agregados Gruesos y Finos   </t>
  </si>
  <si>
    <t>Determinacion de los Tamaños de las Particulas de los Suelos (Granulometria por Tamizado e Hidrometro)</t>
  </si>
  <si>
    <t>Ensayo de Compactación Próctor (Incluye Gravedad Especifica y % de Fracciones Finas y Gruesas)</t>
  </si>
  <si>
    <t>Densidades con Densimetro  (menos de 5 unidades)</t>
  </si>
  <si>
    <t>INV E 164-2013--166-2013</t>
  </si>
  <si>
    <t>3-15-1</t>
  </si>
  <si>
    <t>Densidades con Densimetro  (mas de 6 unidades)</t>
  </si>
  <si>
    <t>3-16</t>
  </si>
  <si>
    <t>Porcentaje de vacios con aire en mezclas asfalticas compactadas densas y abiertas (No incluye ensayos adicionales)</t>
  </si>
  <si>
    <t>INV E 736 - 2013</t>
  </si>
  <si>
    <t xml:space="preserve">Compresión de bloques, ladrillos y adoquines de cemento </t>
  </si>
  <si>
    <t>6-4</t>
  </si>
  <si>
    <t>Compresión en cubos de mortero incluyendo elaboración (serie de 9)</t>
  </si>
  <si>
    <t>Día Alquiler juego de moldes de cubos de mortero</t>
  </si>
  <si>
    <t>Dia alquiler artesas  45x45</t>
  </si>
  <si>
    <t>8-11A</t>
  </si>
  <si>
    <t>Alquiler cono de Marsh</t>
  </si>
  <si>
    <t>8-12A</t>
  </si>
  <si>
    <t>8-13A</t>
  </si>
  <si>
    <t xml:space="preserve">Moldes de Artesas de 45 x 45 </t>
  </si>
  <si>
    <t>8-14V</t>
  </si>
  <si>
    <t xml:space="preserve">Día personal calificado en ciudad de </t>
  </si>
  <si>
    <t>Día personal calificado en ciudad de</t>
  </si>
  <si>
    <t>12-10</t>
  </si>
  <si>
    <t>13-8</t>
  </si>
  <si>
    <t>Tensión en mallas electrosoldadas</t>
  </si>
  <si>
    <t>13-9</t>
  </si>
  <si>
    <t>Extraccion de Anclajes - Prueba de Carga en Barras Hasta 1/2</t>
  </si>
  <si>
    <t>Extraccion de Anclajes - Prueba de Carga en Barras  (desde 5/8" hasta 1")</t>
  </si>
  <si>
    <t>14-9</t>
  </si>
  <si>
    <t>Extraccion de Anclajes - Prueba de Carga en Barras  (mayor 1")</t>
  </si>
  <si>
    <t>14-10</t>
  </si>
  <si>
    <t>SERVICIO DE LABORATORIO EN OBRA</t>
  </si>
  <si>
    <t>Mes Servicio de laboratorio proyecto:</t>
  </si>
  <si>
    <t>13</t>
  </si>
  <si>
    <t>0-2</t>
  </si>
  <si>
    <t>0-3</t>
  </si>
  <si>
    <t>0-5</t>
  </si>
  <si>
    <t>0-4</t>
  </si>
  <si>
    <t>0-6</t>
  </si>
  <si>
    <t>0-7</t>
  </si>
  <si>
    <t>A&amp; G ARENAS Y GRAVAS DE COLOMBIA S.A.S</t>
  </si>
  <si>
    <t>14</t>
  </si>
  <si>
    <t>PLANTA DE PAYANDE</t>
  </si>
  <si>
    <t xml:space="preserve">AGREGADOS MARTINEZ </t>
  </si>
  <si>
    <t>15</t>
  </si>
  <si>
    <t>PLANTA AGREGADOS MARTINEZ</t>
  </si>
  <si>
    <t>16</t>
  </si>
  <si>
    <t>0-10</t>
  </si>
  <si>
    <t>3-17</t>
  </si>
  <si>
    <t>3-18</t>
  </si>
  <si>
    <t>0-8</t>
  </si>
  <si>
    <t>2-29</t>
  </si>
  <si>
    <t>4-17</t>
  </si>
  <si>
    <t>0-9</t>
  </si>
  <si>
    <t>17-1</t>
  </si>
  <si>
    <t>29-3</t>
  </si>
  <si>
    <t>30-4</t>
  </si>
  <si>
    <t>2-19</t>
  </si>
  <si>
    <t>Determinación de la limpieza superficial de las partículas de agregado grueso</t>
  </si>
  <si>
    <t>INV E-237:2013</t>
  </si>
  <si>
    <t>2-20</t>
  </si>
  <si>
    <t>Rotura por compresión de briquetas o núcleos de suelo:cemento (un)</t>
  </si>
  <si>
    <t>INV E-614:2013</t>
  </si>
  <si>
    <t>Corte Directo consolidado no drenado (Tres esfuerzos por ensayo)</t>
  </si>
  <si>
    <t>Módulo resiliente de suelos y agregados</t>
  </si>
  <si>
    <t>INV-E 156-2013</t>
  </si>
  <si>
    <t>2-30</t>
  </si>
  <si>
    <t>Contenido de materia organica con permanganato de Potasio</t>
  </si>
  <si>
    <t>NLT-118-1991</t>
  </si>
  <si>
    <t>2-31</t>
  </si>
  <si>
    <t>Ensayo triaxial estático tipo UU (Tres puntos)</t>
  </si>
  <si>
    <t>INV E-153:2013</t>
  </si>
  <si>
    <t>2-32</t>
  </si>
  <si>
    <t>Carga puntual</t>
  </si>
  <si>
    <t>ASTM D5731-16</t>
  </si>
  <si>
    <t>2-33</t>
  </si>
  <si>
    <t>Índice de desleimiento:Durabilidad</t>
  </si>
  <si>
    <t>INV E-236:2013</t>
  </si>
  <si>
    <t>2-34</t>
  </si>
  <si>
    <t>Tracción indirecta (Método brasilero)</t>
  </si>
  <si>
    <t>ASTM D3967-16</t>
  </si>
  <si>
    <t>2-35</t>
  </si>
  <si>
    <t>Corte Directo consolidado drenado (Tres esfuerzos por ensayo) Baja Deformación</t>
  </si>
  <si>
    <t>2-36</t>
  </si>
  <si>
    <t>Corte Directo consolidado drenado (Tres esfuerzos por ensayo) Alta Deformación</t>
  </si>
  <si>
    <t>2-37</t>
  </si>
  <si>
    <t>Expansión libre en Probeta</t>
  </si>
  <si>
    <t>INV E-132:2013</t>
  </si>
  <si>
    <t>2-38</t>
  </si>
  <si>
    <t>Ensayo de pulimento acelerado</t>
  </si>
  <si>
    <t>INV E-232:2013</t>
  </si>
  <si>
    <t>2-39</t>
  </si>
  <si>
    <t>Densidad bulk del llenante mineral en kerosene</t>
  </si>
  <si>
    <t>INV E-225:2013</t>
  </si>
  <si>
    <t>2-40</t>
  </si>
  <si>
    <t>Permeabilidad con Cabeza Constante (Incluye gradación y densidad relativa del material)</t>
  </si>
  <si>
    <t>INV E-130:2013</t>
  </si>
  <si>
    <t>2-41</t>
  </si>
  <si>
    <t>Relaciones de humedad:densidad de mezclas de suelo cemento</t>
  </si>
  <si>
    <t>INV E-611:2013</t>
  </si>
  <si>
    <t>2-42</t>
  </si>
  <si>
    <t>Rotura por compresión de briquetas o núcleos de suelo:cemento</t>
  </si>
  <si>
    <t>2-43</t>
  </si>
  <si>
    <t>Determinación del potencial de cambio volumétrico en un suelo empleando el aparato LAMBE</t>
  </si>
  <si>
    <t>INV E-120:2013</t>
  </si>
  <si>
    <t>2-44</t>
  </si>
  <si>
    <t>Vacíos del llenante compactado en seco.</t>
  </si>
  <si>
    <t>INV E-229:2013</t>
  </si>
  <si>
    <t>2-45</t>
  </si>
  <si>
    <t>Prueba de Placa</t>
  </si>
  <si>
    <t>INV E-168:2013</t>
  </si>
  <si>
    <t>INV E 733-2013--748-2013</t>
  </si>
  <si>
    <t>INV E 740-2013</t>
  </si>
  <si>
    <t>INV E 734 - 2013</t>
  </si>
  <si>
    <t>Diseño de Mezclas Asfalticas Metodo Marshall</t>
  </si>
  <si>
    <t>Ensayo de Deformación Plástica</t>
  </si>
  <si>
    <t>INV E 756 - 2013</t>
  </si>
  <si>
    <t>Ensayo de Módulo Resiliente en muestras de mezcla asfáltica (3 Temperaturas y 3 Frecuencias)</t>
  </si>
  <si>
    <t>EN -12697-26</t>
  </si>
  <si>
    <t>3-19</t>
  </si>
  <si>
    <t>Contenido de agua en una emulsión asfáltica</t>
  </si>
  <si>
    <t>INV E 761 - 2013</t>
  </si>
  <si>
    <t>3-20</t>
  </si>
  <si>
    <t>Ensayo Leyes de Fatiga, empleando probetas cilíndricas</t>
  </si>
  <si>
    <t>EN -12697-24</t>
  </si>
  <si>
    <t>3-21</t>
  </si>
  <si>
    <t>Ensayo de Riego de Liga</t>
  </si>
  <si>
    <t>IDU SECCIÓN 502-11</t>
  </si>
  <si>
    <t>3-22</t>
  </si>
  <si>
    <t>Viscosidad Saybolt Furol a 25 ºc</t>
  </si>
  <si>
    <t>INV E 763 - 2013</t>
  </si>
  <si>
    <t>3-23</t>
  </si>
  <si>
    <t>Viscosidad Saybolt Furol a 50 ºC</t>
  </si>
  <si>
    <t>3-24</t>
  </si>
  <si>
    <t>Tamizado de las emulsiones asfálticas</t>
  </si>
  <si>
    <t>INV E 765 - 2013</t>
  </si>
  <si>
    <t>3-25</t>
  </si>
  <si>
    <t>Dosificacion de riesgo</t>
  </si>
  <si>
    <t>3-26</t>
  </si>
  <si>
    <t>Medida de la irregularidad superficial de un pavimento mediante la regla de tres metros estatica o radante</t>
  </si>
  <si>
    <t>INV E 793 - 2013</t>
  </si>
  <si>
    <t>3-27</t>
  </si>
  <si>
    <t>Medida de la temperatura del aire, de la superficie y de una mezcla asfaltica</t>
  </si>
  <si>
    <t>INV E 788 - 2013</t>
  </si>
  <si>
    <t>3-28</t>
  </si>
  <si>
    <t>Efecto del agua sobre las mezclas asfalticas sueltas</t>
  </si>
  <si>
    <t>INV E 757 - 2013</t>
  </si>
  <si>
    <t>3-29</t>
  </si>
  <si>
    <t>Viscosidad absoluta a 60 ºC</t>
  </si>
  <si>
    <t>INV E 711 - 2013</t>
  </si>
  <si>
    <t>3-30</t>
  </si>
  <si>
    <t>Viscosidad Cinemática</t>
  </si>
  <si>
    <t>INV E 715 - 2013</t>
  </si>
  <si>
    <t>3-31</t>
  </si>
  <si>
    <t>Punto de ablandamiento promedio ºCUtilizando agua destilada</t>
  </si>
  <si>
    <t>INV E 712 - 2013</t>
  </si>
  <si>
    <t>3-32</t>
  </si>
  <si>
    <t>Penetracion</t>
  </si>
  <si>
    <t>INV E 706 - 2013</t>
  </si>
  <si>
    <t>3-33</t>
  </si>
  <si>
    <t xml:space="preserve">Textura superficial de un pavimento mediante el metodo circulo de arena </t>
  </si>
  <si>
    <t>INV E 791 - 2013</t>
  </si>
  <si>
    <t>3-34</t>
  </si>
  <si>
    <t>Indice de rugosidad internacional - IRI</t>
  </si>
  <si>
    <t>REV 4 2015-04-2019</t>
  </si>
  <si>
    <t>3-35</t>
  </si>
  <si>
    <t>Medida del coeficiente de resistencia al deslizamiento usando pendulo britanico</t>
  </si>
  <si>
    <t>INV E 792:2013</t>
  </si>
  <si>
    <t>3-36</t>
  </si>
  <si>
    <t>Viscosidad saybolt furol a 135ºC</t>
  </si>
  <si>
    <t>INV E 719:2013</t>
  </si>
  <si>
    <t>3-37</t>
  </si>
  <si>
    <t>Solubilidad en tricloroetileno</t>
  </si>
  <si>
    <t>INV E 713:2013</t>
  </si>
  <si>
    <t>3-38</t>
  </si>
  <si>
    <t>Perdida por calentamiento en pelicula delgada y rotatoria (163ºC 5 horas)</t>
  </si>
  <si>
    <t>INV E 720:2013</t>
  </si>
  <si>
    <t>3-39</t>
  </si>
  <si>
    <t>Viscosidad rotacional 163ºC (Pa.s) 3 temperaturas</t>
  </si>
  <si>
    <t>INV E 717:2013</t>
  </si>
  <si>
    <t>3-40</t>
  </si>
  <si>
    <t>Viscosidad a 60ºC - 100ºC</t>
  </si>
  <si>
    <t>INV E 716:2013</t>
  </si>
  <si>
    <t>3-41</t>
  </si>
  <si>
    <t>Ductilidad</t>
  </si>
  <si>
    <t>INV E-702:2013</t>
  </si>
  <si>
    <t>3-42</t>
  </si>
  <si>
    <t>Ensayo de inmersión-compresión sobre mezclas asfálticas en caliente (Incluye Elaboración, 6 briquetas)</t>
  </si>
  <si>
    <t>INV E-738:2013</t>
  </si>
  <si>
    <t>3-43</t>
  </si>
  <si>
    <t>Contenido de Agua en cementos asfálticos.</t>
  </si>
  <si>
    <t>INV E-704:2013</t>
  </si>
  <si>
    <t>3-44</t>
  </si>
  <si>
    <t>Punto de ignición y de combustión mediante la copa abierta Cleveland</t>
  </si>
  <si>
    <t>INV E-709:2013</t>
  </si>
  <si>
    <t>3-45</t>
  </si>
  <si>
    <t>Adhesividad de los ligantes bituminosos a los agregados finos (Método Riedel:Weber)</t>
  </si>
  <si>
    <t>INV E-774:2013</t>
  </si>
  <si>
    <t>3-46</t>
  </si>
  <si>
    <t>Resistencia a la Fatiga de mezclas asfálticas sometidas a Flexión Dinámica empleando probetas prismáticas</t>
  </si>
  <si>
    <t>EN -12697-24INV E-784:2007</t>
  </si>
  <si>
    <t>3-47</t>
  </si>
  <si>
    <t>Recuperación elástica por torsión</t>
  </si>
  <si>
    <t>INV E-727:2013</t>
  </si>
  <si>
    <t>3-48</t>
  </si>
  <si>
    <t>Residuo por Destilación de emulsiones asfálticas</t>
  </si>
  <si>
    <t>INV E-762:2013</t>
  </si>
  <si>
    <t>3-49</t>
  </si>
  <si>
    <t>Concentración crítica de llenante mineral.</t>
  </si>
  <si>
    <t>INV E-745:2013</t>
  </si>
  <si>
    <t>3-50</t>
  </si>
  <si>
    <t>Afinidad con agregados pétreos, Adherencia en frasco (Stripping)</t>
  </si>
  <si>
    <t>INV E-737:2007</t>
  </si>
  <si>
    <t>3-51</t>
  </si>
  <si>
    <t>Sedimentación en las emulsiones asfálticas</t>
  </si>
  <si>
    <t>INV E-764:2013</t>
  </si>
  <si>
    <t>3-52</t>
  </si>
  <si>
    <t>Demulsibilidad de las emulsiones asfálticas</t>
  </si>
  <si>
    <t>INV E-766:2013</t>
  </si>
  <si>
    <t>3-53</t>
  </si>
  <si>
    <t>Carga de partículas</t>
  </si>
  <si>
    <t>INV E-767:2013</t>
  </si>
  <si>
    <t>3-54</t>
  </si>
  <si>
    <t>Determinación del PH</t>
  </si>
  <si>
    <t>INV E-768:2013</t>
  </si>
  <si>
    <t>Indice de Proporcionalidad Agregados Petreos</t>
  </si>
  <si>
    <t>INV E 240 - 2013</t>
  </si>
  <si>
    <t>4-18</t>
  </si>
  <si>
    <t>Ensayo de reactividad potencial álcali-sílice (Método de las Barras de Mortero)</t>
  </si>
  <si>
    <t>ASTM 1260</t>
  </si>
  <si>
    <t>4-19</t>
  </si>
  <si>
    <t>Análisis petrográfico en rocas en sección delgada con fotografías</t>
  </si>
  <si>
    <t>ASTM C-295</t>
  </si>
  <si>
    <t>4-20</t>
  </si>
  <si>
    <t>Ensayo de clasificación de los componentes de los áridos gruesos reciclados</t>
  </si>
  <si>
    <t>UNE EN 933:2011</t>
  </si>
  <si>
    <t>4-21</t>
  </si>
  <si>
    <t>Determinación de PH en agua</t>
  </si>
  <si>
    <t>ASTM D1293</t>
  </si>
  <si>
    <t>NTC 5147 - 2002</t>
  </si>
  <si>
    <t>Absorción en agua de locetas de concreto (no incluye densidad)</t>
  </si>
  <si>
    <t>NTC 4992 - 2004</t>
  </si>
  <si>
    <t>5-8</t>
  </si>
  <si>
    <t>Absorción en agua de locetas de concreto (incluye densidad)</t>
  </si>
  <si>
    <t>5-9</t>
  </si>
  <si>
    <t xml:space="preserve">Flexion de Unidades Prefabricadas (bordillo/sardinel) </t>
  </si>
  <si>
    <t>NTC 4109 - 2008</t>
  </si>
  <si>
    <t>5-10</t>
  </si>
  <si>
    <t>Perdida de volumen por abrasion</t>
  </si>
  <si>
    <t>NTC 3829 - 2004 / 4017 - 2005</t>
  </si>
  <si>
    <t>5-11</t>
  </si>
  <si>
    <t>Eflorescencia</t>
  </si>
  <si>
    <t>NTC 4017 - 2005 numeral 12</t>
  </si>
  <si>
    <t>5-12</t>
  </si>
  <si>
    <t>Alabeo</t>
  </si>
  <si>
    <t>5-13</t>
  </si>
  <si>
    <t>Resistencia a la abrasion</t>
  </si>
  <si>
    <t>5-14</t>
  </si>
  <si>
    <t>Resistencia al deslizamiento.</t>
  </si>
  <si>
    <t>NTC 5129 - 2002</t>
  </si>
  <si>
    <t>5-15</t>
  </si>
  <si>
    <t>Coeficiente de saturacion</t>
  </si>
  <si>
    <t>5-16</t>
  </si>
  <si>
    <t>Absorción por ebullicion de unidades macizas y perforadas</t>
  </si>
  <si>
    <t>NTC 4017 - 2005 numeral 10.4</t>
  </si>
  <si>
    <t>5-17</t>
  </si>
  <si>
    <t>Resistencia a la Flexotraccion de losetas en concreto</t>
  </si>
  <si>
    <t>5-18</t>
  </si>
  <si>
    <t>Indice de Abracion</t>
  </si>
  <si>
    <t>NTC 4017 - 2005 / NTC 4017 - 2005</t>
  </si>
  <si>
    <t>Transporte por viaje - Sabana bogota</t>
  </si>
  <si>
    <t>Transporte por viaje nucleos</t>
  </si>
  <si>
    <t>Transporte por viaje - Bogota por Frente</t>
  </si>
  <si>
    <t>8-15V</t>
  </si>
  <si>
    <t>Martillo de caucho</t>
  </si>
  <si>
    <t>Día personal calificado en ciudad de Bogota</t>
  </si>
  <si>
    <t>Hora extra  personal calificado en obra - Laboratorista</t>
  </si>
  <si>
    <t>Día personal calificado en ciudad de Bogotá.</t>
  </si>
  <si>
    <t xml:space="preserve">Mes personal calificado en ciudad de Bogotá y aledaños Proporcional </t>
  </si>
  <si>
    <t>11-7B</t>
  </si>
  <si>
    <t>Mes servicio laboratorio en obra</t>
  </si>
  <si>
    <t>11-8B</t>
  </si>
  <si>
    <t>Mes servicio laboratorio en obra Proporcional DIA</t>
  </si>
  <si>
    <t>11-9B</t>
  </si>
  <si>
    <t>Mes servicio laboratorio en obra Proporcional</t>
  </si>
  <si>
    <t>ENSAYOS GEOTEXTILES</t>
  </si>
  <si>
    <t>Desgarre Trapezoidal (3 especímenes)</t>
  </si>
  <si>
    <t>INV E-903:2007</t>
  </si>
  <si>
    <t>17-2</t>
  </si>
  <si>
    <t>Tensión y Alargamiento Longitudinal (3 Especímenes)</t>
  </si>
  <si>
    <t>INV E-901:2007</t>
  </si>
  <si>
    <t>17-3</t>
  </si>
  <si>
    <t>Tensión y Alargamiento Transversal (3 Especímenes)</t>
  </si>
  <si>
    <t>17-4</t>
  </si>
  <si>
    <t>Resistencia al punzonamiento (5 Especímenes)</t>
  </si>
  <si>
    <t>INV E-902:2007</t>
  </si>
  <si>
    <t>17-5</t>
  </si>
  <si>
    <t>Peso x Unidad de área (10 Especímenes)</t>
  </si>
  <si>
    <t>INV E-912:2007</t>
  </si>
  <si>
    <t>17-6</t>
  </si>
  <si>
    <t>Coeficiente de permeabilidad al agua</t>
  </si>
  <si>
    <t>INV E-905:2007</t>
  </si>
  <si>
    <t>17-7</t>
  </si>
  <si>
    <t>Determinación del tamaño de abertura aparente de un Geotextil</t>
  </si>
  <si>
    <t>NTC 2255:2003</t>
  </si>
  <si>
    <t>17-8</t>
  </si>
  <si>
    <t>Deterioro de los Geotextiles por exposición a la luz, a la Humedad y al Calor</t>
  </si>
  <si>
    <t>NTC 3300:2007</t>
  </si>
  <si>
    <t>17-9</t>
  </si>
  <si>
    <t>Resistencia a la Penetración estática usando un pistón de 50mm de diámetro</t>
  </si>
  <si>
    <t>INV E-913:2007</t>
  </si>
  <si>
    <t>Compresion unidad mamposteria (incluye refrentado)</t>
  </si>
  <si>
    <t>NTC 4024 - 2001</t>
  </si>
  <si>
    <t>5-19</t>
  </si>
  <si>
    <t>Absorcion de bloques, ladrillos y adoquines de cemento</t>
  </si>
  <si>
    <t>NTC 4024 2001</t>
  </si>
  <si>
    <t>Tensión en varillas corrugadas (No. 2 hasta No.4)</t>
  </si>
  <si>
    <t>Tensión en varillas corrugadas (No. 5 hasta No.7)</t>
  </si>
  <si>
    <t>Tensión en varillas corrugadas (No. 8)</t>
  </si>
  <si>
    <t>Doblamiento de acero (desde No. 2 hasta No. 8 y malla)</t>
  </si>
  <si>
    <t xml:space="preserve">Resistencia al esfuerzo cortante en mallas electrosoldadas </t>
  </si>
  <si>
    <t xml:space="preserve">DESCUENTO </t>
  </si>
  <si>
    <t>0-11</t>
  </si>
  <si>
    <t>18-2</t>
  </si>
  <si>
    <t>Día molde de vigas para ensayo de resistencia a flexión de concreto (UN)</t>
  </si>
  <si>
    <t>18</t>
  </si>
  <si>
    <t>HITOS HURBANOS</t>
  </si>
  <si>
    <t>17</t>
  </si>
  <si>
    <t>VILA NOVA</t>
  </si>
  <si>
    <t>18-3</t>
  </si>
  <si>
    <t>0002-23</t>
  </si>
  <si>
    <t>0005-23</t>
  </si>
  <si>
    <t>0019-23</t>
  </si>
  <si>
    <t>0010-23</t>
  </si>
  <si>
    <t xml:space="preserve">0011-23 </t>
  </si>
  <si>
    <t>0013-23</t>
  </si>
  <si>
    <t>0016-23</t>
  </si>
  <si>
    <t>0018-23</t>
  </si>
  <si>
    <t>0021-23</t>
  </si>
  <si>
    <t>0023-23</t>
  </si>
  <si>
    <t>0024-23</t>
  </si>
  <si>
    <t>0025-23</t>
  </si>
  <si>
    <t>0026-23</t>
  </si>
  <si>
    <t>0028-23</t>
  </si>
  <si>
    <t>0029-23</t>
  </si>
  <si>
    <t>0031-23</t>
  </si>
  <si>
    <t>0032-23</t>
  </si>
  <si>
    <t>0033-23</t>
  </si>
  <si>
    <t>0035-23</t>
  </si>
  <si>
    <t>0036-23</t>
  </si>
  <si>
    <t>0038-23</t>
  </si>
  <si>
    <t>0039-23</t>
  </si>
  <si>
    <t>0040-23</t>
  </si>
  <si>
    <t>0042-23</t>
  </si>
  <si>
    <t>0043-23</t>
  </si>
  <si>
    <t>0044-23</t>
  </si>
  <si>
    <t>0045-23</t>
  </si>
  <si>
    <t>0046-23</t>
  </si>
  <si>
    <t>0047-23</t>
  </si>
  <si>
    <t>0048-23</t>
  </si>
  <si>
    <t>0049-23</t>
  </si>
  <si>
    <t>0050-23</t>
  </si>
  <si>
    <t>0007-23</t>
  </si>
  <si>
    <t xml:space="preserve">0008-23 </t>
  </si>
  <si>
    <t>0051-23</t>
  </si>
  <si>
    <t>0062-23</t>
  </si>
  <si>
    <t>0063-23</t>
  </si>
  <si>
    <t>0064-23</t>
  </si>
  <si>
    <t>0065-23</t>
  </si>
  <si>
    <t>0066-23</t>
  </si>
  <si>
    <t>0067-23</t>
  </si>
  <si>
    <t>0068-23</t>
  </si>
  <si>
    <t>0071-23</t>
  </si>
  <si>
    <t>0072-23</t>
  </si>
  <si>
    <t>0073-23</t>
  </si>
  <si>
    <t>0074-23</t>
  </si>
  <si>
    <t>0075-23</t>
  </si>
  <si>
    <t>0076-23</t>
  </si>
  <si>
    <t>0077-23</t>
  </si>
  <si>
    <t>0078-23</t>
  </si>
  <si>
    <t>0079-23</t>
  </si>
  <si>
    <t>0080-23</t>
  </si>
  <si>
    <t>0082-23</t>
  </si>
  <si>
    <t>0083-23</t>
  </si>
  <si>
    <t>0084-23</t>
  </si>
  <si>
    <t>0085-23</t>
  </si>
  <si>
    <t>8-1</t>
  </si>
  <si>
    <t>0001-23</t>
  </si>
  <si>
    <t>0006-23</t>
  </si>
  <si>
    <t>0009-23</t>
  </si>
  <si>
    <t>0012-23</t>
  </si>
  <si>
    <t>0014-23</t>
  </si>
  <si>
    <t>0015-23</t>
  </si>
  <si>
    <t>0017-23</t>
  </si>
  <si>
    <t>0020-23</t>
  </si>
  <si>
    <t>0022-23</t>
  </si>
  <si>
    <t>0027-23</t>
  </si>
  <si>
    <t>0030-23</t>
  </si>
  <si>
    <t>0037-23</t>
  </si>
  <si>
    <t>0041-23</t>
  </si>
  <si>
    <t>0061-23</t>
  </si>
  <si>
    <t>0052-23</t>
  </si>
  <si>
    <t>0053-23</t>
  </si>
  <si>
    <t>0054-23</t>
  </si>
  <si>
    <t>0055-23</t>
  </si>
  <si>
    <t>0056-23</t>
  </si>
  <si>
    <t>0057-23</t>
  </si>
  <si>
    <t>0058-23</t>
  </si>
  <si>
    <t>0059-23</t>
  </si>
  <si>
    <t>0060-23</t>
  </si>
  <si>
    <t>0081-23</t>
  </si>
  <si>
    <t>(2023-01-03-11-11-11-13-15-24-24-24)</t>
  </si>
  <si>
    <t>(2023-01-01 al 30)</t>
  </si>
  <si>
    <t>8-4a</t>
  </si>
  <si>
    <t>DISEÑOS Y CONSTRUCCIONES DYCO S.A.S</t>
  </si>
  <si>
    <t>8</t>
  </si>
  <si>
    <t>LISTA DE PRECIOS 2023</t>
  </si>
  <si>
    <t>14-11</t>
  </si>
  <si>
    <t>Prueba de Carga en ganchos de varillas lisas y corrugadas hasta 7/8</t>
  </si>
  <si>
    <t>Prueba de Carga en ganchos de varillas lisas y corrugadas 1"</t>
  </si>
  <si>
    <t>14-12</t>
  </si>
  <si>
    <t>126-23</t>
  </si>
  <si>
    <t>127-23</t>
  </si>
  <si>
    <t>128-23</t>
  </si>
  <si>
    <t>129-23</t>
  </si>
  <si>
    <t>130-23</t>
  </si>
  <si>
    <t>131-23</t>
  </si>
  <si>
    <t>132-23</t>
  </si>
  <si>
    <t>133-23</t>
  </si>
  <si>
    <t>134-23</t>
  </si>
  <si>
    <t>135-23</t>
  </si>
  <si>
    <t>136-23</t>
  </si>
  <si>
    <t>137-23</t>
  </si>
  <si>
    <t>138-23</t>
  </si>
  <si>
    <t>139-23</t>
  </si>
  <si>
    <t>140-23</t>
  </si>
  <si>
    <t>141-23</t>
  </si>
  <si>
    <t>142-23</t>
  </si>
  <si>
    <t>143-23</t>
  </si>
  <si>
    <t>144-23</t>
  </si>
  <si>
    <t>145-23</t>
  </si>
  <si>
    <t>146-23</t>
  </si>
  <si>
    <t>147-23</t>
  </si>
  <si>
    <t>148-23</t>
  </si>
  <si>
    <t>149-23</t>
  </si>
  <si>
    <t>150-23</t>
  </si>
  <si>
    <t>121-23</t>
  </si>
  <si>
    <t>122-23</t>
  </si>
  <si>
    <t>123-23</t>
  </si>
  <si>
    <t>124-23</t>
  </si>
  <si>
    <t>125-23</t>
  </si>
  <si>
    <t>(2023-02-17)</t>
  </si>
  <si>
    <t>(2023-02-01 al 28)</t>
  </si>
  <si>
    <t>003-23</t>
  </si>
  <si>
    <t>004-23</t>
  </si>
  <si>
    <t>034-23</t>
  </si>
  <si>
    <t>112-23</t>
  </si>
  <si>
    <t>(2023-02-12-27-28)</t>
  </si>
  <si>
    <t>070-23</t>
  </si>
  <si>
    <t>104-23</t>
  </si>
  <si>
    <t>105-23</t>
  </si>
  <si>
    <t>108-23</t>
  </si>
  <si>
    <t>114-23</t>
  </si>
  <si>
    <t>152-23</t>
  </si>
  <si>
    <t>154-23</t>
  </si>
  <si>
    <t>086-23</t>
  </si>
  <si>
    <t>087-23</t>
  </si>
  <si>
    <t>088-23</t>
  </si>
  <si>
    <t>089-23</t>
  </si>
  <si>
    <t>090-23</t>
  </si>
  <si>
    <t>092-23</t>
  </si>
  <si>
    <t>093-23</t>
  </si>
  <si>
    <t>094-23</t>
  </si>
  <si>
    <t>095-23</t>
  </si>
  <si>
    <t>096-23</t>
  </si>
  <si>
    <t>097-23</t>
  </si>
  <si>
    <t>098-23</t>
  </si>
  <si>
    <t>099-23</t>
  </si>
  <si>
    <t>100-23</t>
  </si>
  <si>
    <t>103-23</t>
  </si>
  <si>
    <t>106-23</t>
  </si>
  <si>
    <t>109-23</t>
  </si>
  <si>
    <t>115-23</t>
  </si>
  <si>
    <t xml:space="preserve"> FRA</t>
  </si>
  <si>
    <t>PROYECTO</t>
  </si>
  <si>
    <t>FECHA</t>
  </si>
  <si>
    <t>IVA</t>
  </si>
  <si>
    <t>TOTAL</t>
  </si>
  <si>
    <t>FECHA INF</t>
  </si>
  <si>
    <t>No. INFORME</t>
  </si>
  <si>
    <t>163-23</t>
  </si>
  <si>
    <t>164-23</t>
  </si>
  <si>
    <t>165-23</t>
  </si>
  <si>
    <t>166-23</t>
  </si>
  <si>
    <t>167-23</t>
  </si>
  <si>
    <t>168-23</t>
  </si>
  <si>
    <t>169-23</t>
  </si>
  <si>
    <t>170-23</t>
  </si>
  <si>
    <t>171-23</t>
  </si>
  <si>
    <t>172-23</t>
  </si>
  <si>
    <t>173-23</t>
  </si>
  <si>
    <t>174-23</t>
  </si>
  <si>
    <t>175-23</t>
  </si>
  <si>
    <t>176-23</t>
  </si>
  <si>
    <t>177-23</t>
  </si>
  <si>
    <t>178-23</t>
  </si>
  <si>
    <t>179-23</t>
  </si>
  <si>
    <t>180-23</t>
  </si>
  <si>
    <t>181-23</t>
  </si>
  <si>
    <t>182-23</t>
  </si>
  <si>
    <t>183-23</t>
  </si>
  <si>
    <t>184-23</t>
  </si>
  <si>
    <t>187-23</t>
  </si>
  <si>
    <t>188-23</t>
  </si>
  <si>
    <t>189-23</t>
  </si>
  <si>
    <t>190-23</t>
  </si>
  <si>
    <t>191-23</t>
  </si>
  <si>
    <t>192-23</t>
  </si>
  <si>
    <t>193-23</t>
  </si>
  <si>
    <t>194-23</t>
  </si>
  <si>
    <t>195-23</t>
  </si>
  <si>
    <t>196-23</t>
  </si>
  <si>
    <t>197-23</t>
  </si>
  <si>
    <t>198-23</t>
  </si>
  <si>
    <t>199-23</t>
  </si>
  <si>
    <t>200-23</t>
  </si>
  <si>
    <t>201-23</t>
  </si>
  <si>
    <t>202-23</t>
  </si>
  <si>
    <t>203-23</t>
  </si>
  <si>
    <t>204-23</t>
  </si>
  <si>
    <t>205-23</t>
  </si>
  <si>
    <t>206-23</t>
  </si>
  <si>
    <t>207-23</t>
  </si>
  <si>
    <t>208-23</t>
  </si>
  <si>
    <t>209-23</t>
  </si>
  <si>
    <t>210-23</t>
  </si>
  <si>
    <t>DEL 01 MARZO AL 30 MARZO</t>
  </si>
  <si>
    <t>Si</t>
  </si>
  <si>
    <t>marzo</t>
  </si>
  <si>
    <t>DEL 1AL 30 ABRIL</t>
  </si>
  <si>
    <t>243-23</t>
  </si>
  <si>
    <t>244-23</t>
  </si>
  <si>
    <t>245-23</t>
  </si>
  <si>
    <t>246-23</t>
  </si>
  <si>
    <t>247-23</t>
  </si>
  <si>
    <t>248-23</t>
  </si>
  <si>
    <t>(2023-04-11-17-19-22-26)</t>
  </si>
  <si>
    <t>212-23</t>
  </si>
  <si>
    <t>229-23</t>
  </si>
  <si>
    <t>220-23</t>
  </si>
  <si>
    <t>225-23</t>
  </si>
  <si>
    <t>230-23</t>
  </si>
  <si>
    <t>236-23</t>
  </si>
  <si>
    <t>237-23</t>
  </si>
  <si>
    <t>abril</t>
  </si>
  <si>
    <t>SUBT2</t>
  </si>
  <si>
    <t>FECHA I</t>
  </si>
  <si>
    <t>FECHA F</t>
  </si>
  <si>
    <t>FORMATO DE LISTADO Y CODIFICACIÓN DE CLIENTES - ADMINISTRATIVO</t>
  </si>
  <si>
    <t>Codigo: F-GC-01</t>
  </si>
  <si>
    <t>Version: 01</t>
  </si>
  <si>
    <t>Fecha: 03/04/2017</t>
  </si>
  <si>
    <t>C.C</t>
  </si>
  <si>
    <t>RAZÓN SOCIAL</t>
  </si>
  <si>
    <t>NIT</t>
  </si>
  <si>
    <t>C.O</t>
  </si>
  <si>
    <t xml:space="preserve">DIRECCIÓN </t>
  </si>
  <si>
    <t>TELÉFONO</t>
  </si>
  <si>
    <t>MUNICIPIO</t>
  </si>
  <si>
    <t>PORTAL</t>
  </si>
  <si>
    <t>PERSONA DE CONTACTO</t>
  </si>
  <si>
    <t>CARGO</t>
  </si>
  <si>
    <t>CELULAR</t>
  </si>
  <si>
    <t>CORREO ELECTRÓNICO</t>
  </si>
  <si>
    <t>IBAGUE</t>
  </si>
  <si>
    <t>0-12</t>
  </si>
  <si>
    <t>0-13</t>
  </si>
  <si>
    <t>0-14</t>
  </si>
  <si>
    <t>0-15</t>
  </si>
  <si>
    <t>0-16</t>
  </si>
  <si>
    <t>0-17</t>
  </si>
  <si>
    <t>0-18</t>
  </si>
  <si>
    <t>0-19</t>
  </si>
  <si>
    <t>0-20</t>
  </si>
  <si>
    <t xml:space="preserve">FORMATO DE LISTADO Y CODIFICACIÓN DE CLIENTES DE OBRAS </t>
  </si>
  <si>
    <t>Version: 02</t>
  </si>
  <si>
    <t>COD EMP</t>
  </si>
  <si>
    <t>COD OBRA</t>
  </si>
  <si>
    <t>NOMBRE PROYECTO</t>
  </si>
  <si>
    <t>DIRECCIÓN</t>
  </si>
  <si>
    <t>USUARIO</t>
  </si>
  <si>
    <t>CONTRASEÑA</t>
  </si>
  <si>
    <t>ASFALTEMOS</t>
  </si>
  <si>
    <t>ARENAS Y GRAVAS DE COLOMBIA SAS</t>
  </si>
  <si>
    <t xml:space="preserve">HITOS HURBANOS </t>
  </si>
  <si>
    <t>7</t>
  </si>
  <si>
    <t>11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</si>
  <si>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</si>
  <si>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</si>
  <si>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</si>
  <si>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</si>
  <si>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</si>
  <si>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</si>
  <si>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</si>
  <si>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</si>
  <si>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</si>
  <si>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</si>
  <si>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</si>
  <si>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</si>
  <si>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</si>
  <si>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</si>
  <si>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</si>
  <si>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</si>
  <si>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</si>
  <si>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</si>
  <si>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</si>
  <si>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</si>
  <si>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</si>
  <si>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</si>
  <si>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</si>
  <si>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</si>
  <si>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</si>
  <si>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</si>
  <si>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</si>
  <si>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</si>
  <si>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</si>
  <si>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</si>
  <si>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</si>
  <si>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</si>
  <si>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</si>
  <si>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</si>
  <si>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</si>
  <si>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</si>
  <si>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</si>
  <si>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AMBALA</t>
  </si>
  <si>
    <t>AV AMBALA CR 14 CL 69 LC 301 CC PLAZAS DEL BOSQUE BRR AMBALA</t>
  </si>
  <si>
    <t>mandala</t>
  </si>
  <si>
    <t>JAVIER</t>
  </si>
  <si>
    <t>JORDAN</t>
  </si>
  <si>
    <t>AV. AMBALA 69-80 CC PLAZA DEL BOSQUE LC. 305</t>
  </si>
  <si>
    <t>viaurbana102</t>
  </si>
  <si>
    <t>SEBASTIAN CARO</t>
  </si>
  <si>
    <t xml:space="preserve">ARENAS Y GRAVAS </t>
  </si>
  <si>
    <t>arenas</t>
  </si>
  <si>
    <t>VILLA NOVA</t>
  </si>
  <si>
    <t>CARRERA 19 B 83-49 P7</t>
  </si>
  <si>
    <t>hitosurb17</t>
  </si>
  <si>
    <t>CRISTHIAN</t>
  </si>
  <si>
    <t>del 1 al 30</t>
  </si>
  <si>
    <t>252-23</t>
  </si>
  <si>
    <t>253-23</t>
  </si>
  <si>
    <t>261-23</t>
  </si>
  <si>
    <t>269-23</t>
  </si>
  <si>
    <t>284-23</t>
  </si>
  <si>
    <t>239-23</t>
  </si>
  <si>
    <t>241-23</t>
  </si>
  <si>
    <t>257-23</t>
  </si>
  <si>
    <t>258-23</t>
  </si>
  <si>
    <t>249-23</t>
  </si>
  <si>
    <t>251-23</t>
  </si>
  <si>
    <t>281-23</t>
  </si>
  <si>
    <t>282-23</t>
  </si>
  <si>
    <t>283-23</t>
  </si>
  <si>
    <t>285-23</t>
  </si>
  <si>
    <t>277-23</t>
  </si>
  <si>
    <t>278-23</t>
  </si>
  <si>
    <t>279-23</t>
  </si>
  <si>
    <t>280-23</t>
  </si>
  <si>
    <t>262-23</t>
  </si>
  <si>
    <t>263-23</t>
  </si>
  <si>
    <t>264-23</t>
  </si>
  <si>
    <t>265-23</t>
  </si>
  <si>
    <t>266-23</t>
  </si>
  <si>
    <t>267-23</t>
  </si>
  <si>
    <t>(2023-05-10)</t>
  </si>
  <si>
    <t>56</t>
  </si>
  <si>
    <t>MAYO</t>
  </si>
  <si>
    <t>900,000,000-0</t>
  </si>
  <si>
    <t>OFICINA</t>
  </si>
  <si>
    <t>ibague</t>
  </si>
  <si>
    <t>0302-23</t>
  </si>
  <si>
    <t>0304-23</t>
  </si>
  <si>
    <t>0306-23</t>
  </si>
  <si>
    <t>0307-23</t>
  </si>
  <si>
    <t>0311-23</t>
  </si>
  <si>
    <t>0292-23</t>
  </si>
  <si>
    <t>0309-23</t>
  </si>
  <si>
    <t>(2023/06/07)</t>
  </si>
  <si>
    <t>(16/06/2023)</t>
  </si>
  <si>
    <t>0315-23</t>
  </si>
  <si>
    <t>0316-23</t>
  </si>
  <si>
    <t>3pretolsa</t>
  </si>
  <si>
    <t>alex@pretolsa.com</t>
  </si>
  <si>
    <t>GUAMO</t>
  </si>
  <si>
    <t>pretolsa</t>
  </si>
  <si>
    <t>0317-23</t>
  </si>
  <si>
    <t>0318-23</t>
  </si>
  <si>
    <t>PRETENSADOS DEL TOLIMA S.A.S PRETOLSA</t>
  </si>
  <si>
    <t>KM 9 VIA GUAMO - ORTEGA</t>
  </si>
  <si>
    <t>ALEXANDER VILLANUEVA</t>
  </si>
  <si>
    <t>DIRECTOR DE OBRA</t>
  </si>
  <si>
    <t>PRETOLSA</t>
  </si>
  <si>
    <t>3-1planta</t>
  </si>
  <si>
    <t>3-1plantapretolsa</t>
  </si>
  <si>
    <t>JUNIO</t>
  </si>
  <si>
    <t>0314-23</t>
  </si>
  <si>
    <t>1 al 30</t>
  </si>
  <si>
    <t>0326-23</t>
  </si>
  <si>
    <t>0330-23</t>
  </si>
  <si>
    <t>0383-23</t>
  </si>
  <si>
    <t>0319-23</t>
  </si>
  <si>
    <t>0320-23</t>
  </si>
  <si>
    <t>0321-23</t>
  </si>
  <si>
    <t>0322-23</t>
  </si>
  <si>
    <t>0323-23</t>
  </si>
  <si>
    <t>0324-23</t>
  </si>
  <si>
    <t>0325-23</t>
  </si>
  <si>
    <t>0327-23</t>
  </si>
  <si>
    <t>0328-23</t>
  </si>
  <si>
    <t>0329-23</t>
  </si>
  <si>
    <t>0382-23</t>
  </si>
  <si>
    <t>0384-23</t>
  </si>
  <si>
    <t>0385-23</t>
  </si>
  <si>
    <t>0386-23</t>
  </si>
  <si>
    <t>0387-23</t>
  </si>
  <si>
    <t>0390-23</t>
  </si>
  <si>
    <t>0392-23</t>
  </si>
  <si>
    <t>0393-23</t>
  </si>
  <si>
    <t>0396-23</t>
  </si>
  <si>
    <t>0397-23</t>
  </si>
  <si>
    <t>0398-23</t>
  </si>
  <si>
    <t>0399-23</t>
  </si>
  <si>
    <t>0388-23</t>
  </si>
  <si>
    <t>0340-23</t>
  </si>
  <si>
    <t>0341-23</t>
  </si>
  <si>
    <t>0342-23</t>
  </si>
  <si>
    <t>0343-23</t>
  </si>
  <si>
    <t>0344-23</t>
  </si>
  <si>
    <t>0345-23</t>
  </si>
  <si>
    <t>0346-23</t>
  </si>
  <si>
    <t>0347-23</t>
  </si>
  <si>
    <t>0348-23</t>
  </si>
  <si>
    <t>0349-23</t>
  </si>
  <si>
    <t>0350-23</t>
  </si>
  <si>
    <t>0351-23</t>
  </si>
  <si>
    <t>0352-23</t>
  </si>
  <si>
    <t>0353-23</t>
  </si>
  <si>
    <t>0354-23</t>
  </si>
  <si>
    <t>0355-23</t>
  </si>
  <si>
    <t>0356-23</t>
  </si>
  <si>
    <t>0357-23</t>
  </si>
  <si>
    <t>0358-23</t>
  </si>
  <si>
    <t>0359-23</t>
  </si>
  <si>
    <t>0360-23</t>
  </si>
  <si>
    <t>0361-23</t>
  </si>
  <si>
    <t>0362-23</t>
  </si>
  <si>
    <t>0363-23</t>
  </si>
  <si>
    <t>0364-23</t>
  </si>
  <si>
    <t>0365-23</t>
  </si>
  <si>
    <t>0366-23</t>
  </si>
  <si>
    <t>0367-23</t>
  </si>
  <si>
    <t>0368-23</t>
  </si>
  <si>
    <t>0369-23</t>
  </si>
  <si>
    <t>0370-23</t>
  </si>
  <si>
    <t>0371-23</t>
  </si>
  <si>
    <t>0372-23</t>
  </si>
  <si>
    <t>0373-23</t>
  </si>
  <si>
    <t>0374-23</t>
  </si>
  <si>
    <t>0375-23</t>
  </si>
  <si>
    <t>0376-23</t>
  </si>
  <si>
    <t>0377-23</t>
  </si>
  <si>
    <t>0378-23</t>
  </si>
  <si>
    <t>0379-23</t>
  </si>
  <si>
    <t>0380-23</t>
  </si>
  <si>
    <t>0381-23</t>
  </si>
  <si>
    <t>0331-23</t>
  </si>
  <si>
    <t>0332-23</t>
  </si>
  <si>
    <t>0333-23</t>
  </si>
  <si>
    <t>0334-23</t>
  </si>
  <si>
    <t>0335-23</t>
  </si>
  <si>
    <t>0336-23</t>
  </si>
  <si>
    <t>0337-23</t>
  </si>
  <si>
    <t>0338-23</t>
  </si>
  <si>
    <t>0339-23</t>
  </si>
  <si>
    <t>0391-23</t>
  </si>
  <si>
    <t>0395-23</t>
  </si>
  <si>
    <t>JULIO</t>
  </si>
  <si>
    <t>388-23</t>
  </si>
  <si>
    <t>1 AL 31</t>
  </si>
  <si>
    <t>272-23</t>
  </si>
  <si>
    <t>(2023-07-21-27)</t>
  </si>
  <si>
    <t>11a31 agosto</t>
  </si>
  <si>
    <t>Día molde cilíndrico para ensayo de resistencia a compresión de concreto. Ø=6" - Ø=4"</t>
  </si>
  <si>
    <t>Remision 0519</t>
  </si>
  <si>
    <t>Remision 0516</t>
  </si>
  <si>
    <t>(2023-08-11-17-24-29-31)</t>
  </si>
  <si>
    <t>417-23</t>
  </si>
  <si>
    <t>421-23</t>
  </si>
  <si>
    <t>423-23</t>
  </si>
  <si>
    <t>424-23</t>
  </si>
  <si>
    <t>427-23</t>
  </si>
  <si>
    <t>430-23</t>
  </si>
  <si>
    <t>432-23</t>
  </si>
  <si>
    <t>434-23</t>
  </si>
  <si>
    <t>419-23</t>
  </si>
  <si>
    <t>UNION TEMPORAL ROVIRA 2018</t>
  </si>
  <si>
    <t>901251288-9</t>
  </si>
  <si>
    <t>av ambala 69-80 centro comercial plaza del bosque local 305</t>
  </si>
  <si>
    <t>aejandra</t>
  </si>
  <si>
    <t>cartera</t>
  </si>
  <si>
    <t>rovira</t>
  </si>
  <si>
    <t>ALEJANDRA PIMIENTO</t>
  </si>
  <si>
    <t>13-1rovira</t>
  </si>
  <si>
    <t>ING CALIDAD</t>
  </si>
  <si>
    <t>GEOLAB IC. LABORATORIO DE INGENIERÍA CIVIL S.A.S
Ibagué: Urbanizacion Arcaniza 2 casa 24  Tel:  Cel. 3108072460 - 3188108111
Correo Electrónico: ibague@geolabsas.co, geolabsas@gmail.com
www. geolabcsp.com</t>
  </si>
  <si>
    <t>0408-23</t>
  </si>
  <si>
    <t>0400-23</t>
  </si>
  <si>
    <t>0402-23</t>
  </si>
  <si>
    <t>0403-23</t>
  </si>
  <si>
    <t>0404-23</t>
  </si>
  <si>
    <t>0405-23</t>
  </si>
  <si>
    <t>0406-23</t>
  </si>
  <si>
    <t>0407-23</t>
  </si>
  <si>
    <t>0409-23</t>
  </si>
  <si>
    <t>0410-23</t>
  </si>
  <si>
    <t>0411-23</t>
  </si>
  <si>
    <t>0412-23</t>
  </si>
  <si>
    <t>0413-23</t>
  </si>
  <si>
    <t>0414-23</t>
  </si>
  <si>
    <t>0415-23</t>
  </si>
  <si>
    <t>0416-23</t>
  </si>
  <si>
    <t>0418-23</t>
  </si>
  <si>
    <t>0420-23</t>
  </si>
  <si>
    <t>0422-23</t>
  </si>
  <si>
    <t>0425-23</t>
  </si>
  <si>
    <t>0426-23</t>
  </si>
  <si>
    <t>0428-23</t>
  </si>
  <si>
    <t>0429-23</t>
  </si>
  <si>
    <t>0431-23</t>
  </si>
  <si>
    <t>0433-23</t>
  </si>
  <si>
    <t>0435-23</t>
  </si>
  <si>
    <t>0438-23</t>
  </si>
  <si>
    <t>0440-23</t>
  </si>
  <si>
    <t>0445-23</t>
  </si>
  <si>
    <t>0448-23</t>
  </si>
  <si>
    <t>0451-23</t>
  </si>
  <si>
    <t>0401-23</t>
  </si>
  <si>
    <t>(2023-08-30-8-1)</t>
  </si>
  <si>
    <t>(2023-08-30-13.1)</t>
  </si>
  <si>
    <t>(2023-08-30-10.2)</t>
  </si>
  <si>
    <t>AGOSTO</t>
  </si>
  <si>
    <t xml:space="preserve">1 AL 30 </t>
  </si>
  <si>
    <t>0454-23</t>
  </si>
  <si>
    <t>0456-23</t>
  </si>
  <si>
    <t>0458-23</t>
  </si>
  <si>
    <t>0444-23</t>
  </si>
  <si>
    <t>0447-23</t>
  </si>
  <si>
    <t>0450-23</t>
  </si>
  <si>
    <t>0436-23</t>
  </si>
  <si>
    <t>0439-23</t>
  </si>
  <si>
    <t>0441-23</t>
  </si>
  <si>
    <t>0446-23</t>
  </si>
  <si>
    <t>0449-23</t>
  </si>
  <si>
    <t>0452-23</t>
  </si>
  <si>
    <t>0460-23</t>
  </si>
  <si>
    <t>0462-23</t>
  </si>
  <si>
    <t>0464-23</t>
  </si>
  <si>
    <t>0466-23</t>
  </si>
  <si>
    <t>0468-23</t>
  </si>
  <si>
    <t>0470-23</t>
  </si>
  <si>
    <t>0472-23</t>
  </si>
  <si>
    <t>0474-23</t>
  </si>
  <si>
    <t>0476-23</t>
  </si>
  <si>
    <t>0478-23</t>
  </si>
  <si>
    <t>0480-23</t>
  </si>
  <si>
    <t>0482-23</t>
  </si>
  <si>
    <t>0484-23</t>
  </si>
  <si>
    <t>0486-23</t>
  </si>
  <si>
    <t>0489-23</t>
  </si>
  <si>
    <t>0492-23</t>
  </si>
  <si>
    <t>0495-23</t>
  </si>
  <si>
    <t>(2023-09-06) (2023-09-13)</t>
  </si>
  <si>
    <t>01 a 30 Septiembre</t>
  </si>
  <si>
    <t>8-1a</t>
  </si>
  <si>
    <t>SEPTIEMBRE</t>
  </si>
  <si>
    <t>14/09/2023</t>
  </si>
  <si>
    <t>8-2v</t>
  </si>
  <si>
    <t>Molde cilíndrico metálico para ensayo de resistencia a compresión de concreto. Ø=4"</t>
  </si>
  <si>
    <t>0453-23</t>
  </si>
  <si>
    <t>0487-23</t>
  </si>
  <si>
    <t>0490-23</t>
  </si>
  <si>
    <t>0493-23</t>
  </si>
  <si>
    <t>(08/09/2023)</t>
  </si>
  <si>
    <t>0510-23</t>
  </si>
  <si>
    <t>0518-23</t>
  </si>
  <si>
    <t>0539-23</t>
  </si>
  <si>
    <t>0540-23</t>
  </si>
  <si>
    <t>0500-23</t>
  </si>
  <si>
    <t>0502-23</t>
  </si>
  <si>
    <t>0504-23</t>
  </si>
  <si>
    <t>0506-23</t>
  </si>
  <si>
    <t>0508-23</t>
  </si>
  <si>
    <t>0511-23</t>
  </si>
  <si>
    <t>0513-23</t>
  </si>
  <si>
    <t>0515-23</t>
  </si>
  <si>
    <t>0517-23</t>
  </si>
  <si>
    <t>0520-23</t>
  </si>
  <si>
    <t>0522-23</t>
  </si>
  <si>
    <t>0524-23</t>
  </si>
  <si>
    <t>0526-23</t>
  </si>
  <si>
    <t>0528-23</t>
  </si>
  <si>
    <t>0530-23</t>
  </si>
  <si>
    <t>0532-23</t>
  </si>
  <si>
    <t>0534-23</t>
  </si>
  <si>
    <t>0536-23</t>
  </si>
  <si>
    <t>0538-23</t>
  </si>
  <si>
    <t>0542-23</t>
  </si>
  <si>
    <t>0544-23</t>
  </si>
  <si>
    <t>0546-23</t>
  </si>
  <si>
    <t>0548-23</t>
  </si>
  <si>
    <t>0551-23</t>
  </si>
  <si>
    <t>0554-23</t>
  </si>
  <si>
    <t>0556-23</t>
  </si>
  <si>
    <t>06-12-23 DE OCTUBRE DEL 2023</t>
  </si>
  <si>
    <t xml:space="preserve">DEL 1 AL 31 DE OCTUBRE DEL 2023 </t>
  </si>
  <si>
    <t>DEL 7 AL 31 DE OCTUBRE DEL 2023</t>
  </si>
  <si>
    <t>Día personal calificado en ciudad de Ibague</t>
  </si>
  <si>
    <t>OCTUBRE</t>
  </si>
  <si>
    <t>(DEL 1 AL 31 DE OCTUBRE DEL 2023)</t>
  </si>
  <si>
    <t>DEL 1 AL 30 DE SEPTIEMBRE DEL 2023</t>
  </si>
  <si>
    <t>0618-23</t>
  </si>
  <si>
    <t>0619-23</t>
  </si>
  <si>
    <t>0620-23</t>
  </si>
  <si>
    <t>0621-23</t>
  </si>
  <si>
    <t>0622-23</t>
  </si>
  <si>
    <t>0623-23</t>
  </si>
  <si>
    <t>0624-23</t>
  </si>
  <si>
    <t>0625-23</t>
  </si>
  <si>
    <t>0558-23</t>
  </si>
  <si>
    <t>0560-23</t>
  </si>
  <si>
    <t>0562-23</t>
  </si>
  <si>
    <t>0564-23</t>
  </si>
  <si>
    <t>0567-23</t>
  </si>
  <si>
    <t>0569-23</t>
  </si>
  <si>
    <t>0571-23</t>
  </si>
  <si>
    <t>0574-23</t>
  </si>
  <si>
    <t>0576-23</t>
  </si>
  <si>
    <t>0580-23</t>
  </si>
  <si>
    <t>0582-23</t>
  </si>
  <si>
    <t>0584-23</t>
  </si>
  <si>
    <t>0586-23</t>
  </si>
  <si>
    <t>0588-23</t>
  </si>
  <si>
    <t>0590-23</t>
  </si>
  <si>
    <t>0596-23</t>
  </si>
  <si>
    <t>0610-23</t>
  </si>
  <si>
    <t>0612-23</t>
  </si>
  <si>
    <t>0615-23</t>
  </si>
  <si>
    <t>0617-23</t>
  </si>
  <si>
    <t>0631-23</t>
  </si>
  <si>
    <t>0635-23</t>
  </si>
  <si>
    <t>(DEL 1 AL 16 DE NOVIEMBRE DEL 2023)</t>
  </si>
  <si>
    <t>(DEL 17 AL 30 DE NOVIEMBRE DEL 2023)</t>
  </si>
  <si>
    <t>(3-10-15-17-20-21 DE NOVIEMBRE DEL 2023)</t>
  </si>
  <si>
    <t>Medio dia personal calificado de Ibague</t>
  </si>
  <si>
    <t>11-10L</t>
  </si>
  <si>
    <t>(4 DE NOVIEMBRE DEL 2023)</t>
  </si>
  <si>
    <t>NOVIEMBRE</t>
  </si>
  <si>
    <t>0626-23</t>
  </si>
  <si>
    <t>0628-23</t>
  </si>
  <si>
    <t>DICIEMBRE</t>
  </si>
  <si>
    <t>0670-23</t>
  </si>
  <si>
    <t>0671-23</t>
  </si>
  <si>
    <t>0672-23</t>
  </si>
  <si>
    <t>0673-23</t>
  </si>
  <si>
    <t>0674-23</t>
  </si>
  <si>
    <t>0675-23</t>
  </si>
  <si>
    <t>0676-23</t>
  </si>
  <si>
    <t>0677-23</t>
  </si>
  <si>
    <t>0678-23</t>
  </si>
  <si>
    <t>0679-23</t>
  </si>
  <si>
    <t>0680-23</t>
  </si>
  <si>
    <t>0681-23</t>
  </si>
  <si>
    <t>0682-23</t>
  </si>
  <si>
    <t>0683-23</t>
  </si>
  <si>
    <t>0684-23</t>
  </si>
  <si>
    <t>0685-23</t>
  </si>
  <si>
    <t>0686-23</t>
  </si>
  <si>
    <t>0687-23</t>
  </si>
  <si>
    <t>0688-23</t>
  </si>
  <si>
    <t>0689-23</t>
  </si>
  <si>
    <t>0690-23</t>
  </si>
  <si>
    <t>0691-23</t>
  </si>
  <si>
    <t>0692-23</t>
  </si>
  <si>
    <t>0693-23</t>
  </si>
  <si>
    <t>0694-23</t>
  </si>
  <si>
    <t>0695-23</t>
  </si>
  <si>
    <t>0696-23</t>
  </si>
  <si>
    <t>0697-23</t>
  </si>
  <si>
    <t>0698-23</t>
  </si>
  <si>
    <t>0699-23</t>
  </si>
  <si>
    <t>0700-23</t>
  </si>
  <si>
    <t>0701-23</t>
  </si>
  <si>
    <t>0702-23</t>
  </si>
  <si>
    <t>0703-23</t>
  </si>
  <si>
    <t>0704-23</t>
  </si>
  <si>
    <t>0705-23</t>
  </si>
  <si>
    <t>0706-23</t>
  </si>
  <si>
    <t>0707-23</t>
  </si>
  <si>
    <t>0708-23</t>
  </si>
  <si>
    <t>0709-23</t>
  </si>
  <si>
    <t>0710-23</t>
  </si>
  <si>
    <t>(Alquiler Del 1 al 30 de Diciembre 2023)</t>
  </si>
  <si>
    <t>0001A-24</t>
  </si>
  <si>
    <t>0002A-24</t>
  </si>
  <si>
    <t>0003A-24</t>
  </si>
  <si>
    <t>0004A-24</t>
  </si>
  <si>
    <t>0005A-24</t>
  </si>
  <si>
    <t>0006A-24</t>
  </si>
  <si>
    <t>0007A-24</t>
  </si>
  <si>
    <t>0008A-24</t>
  </si>
  <si>
    <t>0009A-24</t>
  </si>
  <si>
    <t>0010A-24</t>
  </si>
  <si>
    <t>0011A-24</t>
  </si>
  <si>
    <t>0012A-24</t>
  </si>
  <si>
    <t>(Transporte 16-01-2024)</t>
  </si>
  <si>
    <t>ENERO</t>
  </si>
  <si>
    <t>0021-24</t>
  </si>
  <si>
    <t>0024-24</t>
  </si>
  <si>
    <t>0025-24</t>
  </si>
  <si>
    <t>0027-24</t>
  </si>
  <si>
    <t>0029-24</t>
  </si>
  <si>
    <t>0030-24</t>
  </si>
  <si>
    <t>0031-24</t>
  </si>
  <si>
    <t>0033-24</t>
  </si>
  <si>
    <t>0037-24</t>
  </si>
  <si>
    <t>0039-24</t>
  </si>
  <si>
    <t>0054-24</t>
  </si>
  <si>
    <t>0056-24</t>
  </si>
  <si>
    <t>0058-24</t>
  </si>
  <si>
    <t>0059-24</t>
  </si>
  <si>
    <t>0061-24</t>
  </si>
  <si>
    <t>FEBRERO</t>
  </si>
  <si>
    <t>0076-24</t>
  </si>
  <si>
    <t>0078-24</t>
  </si>
  <si>
    <t>0080-24</t>
  </si>
  <si>
    <t>0081-24</t>
  </si>
  <si>
    <t>0083-24</t>
  </si>
  <si>
    <t>0065-24</t>
  </si>
  <si>
    <t>0072-24</t>
  </si>
  <si>
    <t>0074-24</t>
  </si>
  <si>
    <t>0085-24</t>
  </si>
  <si>
    <t>0089-24</t>
  </si>
  <si>
    <t>0092-24</t>
  </si>
  <si>
    <t>0097-24</t>
  </si>
  <si>
    <t>0099-24</t>
  </si>
  <si>
    <t>0102-24</t>
  </si>
  <si>
    <t>(TRANSPORTE 07-17 DE MARZO 2024)</t>
  </si>
  <si>
    <t>MARZO</t>
  </si>
  <si>
    <t>0103-24</t>
  </si>
  <si>
    <t>0104-24</t>
  </si>
  <si>
    <t>0105-24</t>
  </si>
  <si>
    <t>0106-24</t>
  </si>
  <si>
    <t>0107-24</t>
  </si>
  <si>
    <t>ABRIL</t>
  </si>
  <si>
    <t>0125-24</t>
  </si>
  <si>
    <t>0127-24</t>
  </si>
  <si>
    <t>0130-24</t>
  </si>
  <si>
    <t>0133-24</t>
  </si>
  <si>
    <t>0138-24</t>
  </si>
  <si>
    <t>0144-24</t>
  </si>
  <si>
    <t>0147-24</t>
  </si>
  <si>
    <t>0108-24</t>
  </si>
  <si>
    <t>0109-24</t>
  </si>
  <si>
    <t>0113-24</t>
  </si>
  <si>
    <t>0115-24</t>
  </si>
  <si>
    <t>0117-24</t>
  </si>
  <si>
    <t>0119-24</t>
  </si>
  <si>
    <t>0121-24</t>
  </si>
  <si>
    <t>0123-24</t>
  </si>
  <si>
    <t>0129-24</t>
  </si>
  <si>
    <t>0132-24</t>
  </si>
  <si>
    <t>0136-24</t>
  </si>
  <si>
    <t>0137-24</t>
  </si>
  <si>
    <t>0140-24</t>
  </si>
  <si>
    <t>0143-24</t>
  </si>
  <si>
    <t>0146-24</t>
  </si>
  <si>
    <t>0149-24</t>
  </si>
  <si>
    <t>0150-24</t>
  </si>
  <si>
    <t>(Transporte 01-10-19-29 de Abril de 2024)</t>
  </si>
  <si>
    <t>0154-24</t>
  </si>
  <si>
    <t>0155-24</t>
  </si>
  <si>
    <t>0156-24</t>
  </si>
  <si>
    <t>0157-24</t>
  </si>
  <si>
    <t>0158-24</t>
  </si>
  <si>
    <t>0161-24</t>
  </si>
  <si>
    <t>0190-24</t>
  </si>
  <si>
    <t>0189-24</t>
  </si>
  <si>
    <t>0174-24</t>
  </si>
  <si>
    <t>0175-24</t>
  </si>
  <si>
    <t>0176-24</t>
  </si>
  <si>
    <t>0177-24</t>
  </si>
  <si>
    <t>0170-24</t>
  </si>
  <si>
    <t>0171-24</t>
  </si>
  <si>
    <t>0172-24</t>
  </si>
  <si>
    <t>0173-24</t>
  </si>
  <si>
    <t>0165-24</t>
  </si>
  <si>
    <t>0166-24</t>
  </si>
  <si>
    <t>0167-24</t>
  </si>
  <si>
    <t>0168-24</t>
  </si>
  <si>
    <t>0169-24</t>
  </si>
  <si>
    <t>0152-24</t>
  </si>
  <si>
    <t>0159-24</t>
  </si>
  <si>
    <t>0164-24</t>
  </si>
  <si>
    <t>0182-24</t>
  </si>
  <si>
    <t>0185-24</t>
  </si>
  <si>
    <t>0191-24</t>
  </si>
  <si>
    <t>0193-24</t>
  </si>
  <si>
    <t>0194-24</t>
  </si>
  <si>
    <t>0196-24</t>
  </si>
  <si>
    <t>0151-24</t>
  </si>
  <si>
    <t>0160-24</t>
  </si>
  <si>
    <t>0163-24</t>
  </si>
  <si>
    <t>0179-24</t>
  </si>
  <si>
    <t>0181-24</t>
  </si>
  <si>
    <t>0183-24</t>
  </si>
  <si>
    <t>0184-24</t>
  </si>
  <si>
    <t>0186-24</t>
  </si>
  <si>
    <t>0188-24</t>
  </si>
  <si>
    <t>0192-24</t>
  </si>
  <si>
    <t>0197-24</t>
  </si>
  <si>
    <t>0199-24</t>
  </si>
  <si>
    <t>0200-24</t>
  </si>
  <si>
    <t>0201-24</t>
  </si>
  <si>
    <t>0202-24</t>
  </si>
  <si>
    <t>(Transporte del 06-14-21 de Mayo de 2024)</t>
  </si>
  <si>
    <t>0211-24</t>
  </si>
  <si>
    <t>0214-24</t>
  </si>
  <si>
    <t>0217-24</t>
  </si>
  <si>
    <t>0220-24</t>
  </si>
  <si>
    <t>0204-24</t>
  </si>
  <si>
    <t>0206-24</t>
  </si>
  <si>
    <t>0208-24</t>
  </si>
  <si>
    <t>0210-24</t>
  </si>
  <si>
    <t>0213-24</t>
  </si>
  <si>
    <t>0216-24</t>
  </si>
  <si>
    <t>0218-24</t>
  </si>
  <si>
    <t>0219-24</t>
  </si>
  <si>
    <t>0222-24</t>
  </si>
  <si>
    <t>0224-24</t>
  </si>
  <si>
    <t>0225-24</t>
  </si>
  <si>
    <t>0226-24</t>
  </si>
  <si>
    <t>(Transporte de 04-12-26 de Junio de 2024)</t>
  </si>
  <si>
    <t>0256-24</t>
  </si>
  <si>
    <t>0257-24</t>
  </si>
  <si>
    <t>0249-24</t>
  </si>
  <si>
    <t>0240-24</t>
  </si>
  <si>
    <t>0241-24</t>
  </si>
  <si>
    <t>0244-24</t>
  </si>
  <si>
    <t>0228-24</t>
  </si>
  <si>
    <t>0231-24</t>
  </si>
  <si>
    <t>0233-24</t>
  </si>
  <si>
    <t>0236-24</t>
  </si>
  <si>
    <t>0239-24</t>
  </si>
  <si>
    <t>0243-24</t>
  </si>
  <si>
    <t>0250-24</t>
  </si>
  <si>
    <t>0252-24</t>
  </si>
  <si>
    <t>0254-24</t>
  </si>
  <si>
    <t>(Transporte del 22-29 de Julio de 2024)</t>
  </si>
  <si>
    <t>0246-24</t>
  </si>
  <si>
    <t>0247-24</t>
  </si>
  <si>
    <t>0248-24</t>
  </si>
  <si>
    <t>0227-24</t>
  </si>
  <si>
    <t>0229-24</t>
  </si>
  <si>
    <t>0230-24</t>
  </si>
  <si>
    <t>0232-24</t>
  </si>
  <si>
    <t>0234-24</t>
  </si>
  <si>
    <t>0235-24</t>
  </si>
  <si>
    <t>0238-24</t>
  </si>
  <si>
    <t>0242-24</t>
  </si>
  <si>
    <t>0245-24</t>
  </si>
  <si>
    <t>0251-24</t>
  </si>
  <si>
    <t>0253-24</t>
  </si>
  <si>
    <t>0255-24</t>
  </si>
  <si>
    <t>0258-24</t>
  </si>
  <si>
    <t>0259-24</t>
  </si>
  <si>
    <t xml:space="preserve">Transporte 03-15-22-29 de Julio de 2024  y Transporte para toma de densidades el 15 de Julio de 2024 </t>
  </si>
  <si>
    <t>0275-24</t>
  </si>
  <si>
    <t>0276-24</t>
  </si>
  <si>
    <t>0280-24</t>
  </si>
  <si>
    <t>0283-24</t>
  </si>
  <si>
    <t>0290-24</t>
  </si>
  <si>
    <t>0260-24</t>
  </si>
  <si>
    <t>0262-24</t>
  </si>
  <si>
    <t>0263-24</t>
  </si>
  <si>
    <t>0264-24</t>
  </si>
  <si>
    <t>0266-24</t>
  </si>
  <si>
    <t>0268-24</t>
  </si>
  <si>
    <t>0270-24</t>
  </si>
  <si>
    <t>0271-24</t>
  </si>
  <si>
    <t>0273-24</t>
  </si>
  <si>
    <t>0277-24</t>
  </si>
  <si>
    <t>0278-24</t>
  </si>
  <si>
    <t>0281-24</t>
  </si>
  <si>
    <t>0284-24</t>
  </si>
  <si>
    <t>0286-24</t>
  </si>
  <si>
    <t>0287-24</t>
  </si>
  <si>
    <t>0288-24</t>
  </si>
  <si>
    <t>0289-24</t>
  </si>
  <si>
    <t>0291-24</t>
  </si>
  <si>
    <t>0292-24</t>
  </si>
  <si>
    <t>0294-24</t>
  </si>
  <si>
    <t>0295-24</t>
  </si>
  <si>
    <t>(Transporte de 03-13-22 de Agosto de 2024)</t>
  </si>
  <si>
    <t>0261-24</t>
  </si>
  <si>
    <t>0265-24</t>
  </si>
  <si>
    <t>0267-24</t>
  </si>
  <si>
    <t>0269-24</t>
  </si>
  <si>
    <t>0272-24</t>
  </si>
  <si>
    <t>0274-24</t>
  </si>
  <si>
    <t>0279-24</t>
  </si>
  <si>
    <t>0282-24</t>
  </si>
  <si>
    <t>0285-24</t>
  </si>
  <si>
    <t>0293-24</t>
  </si>
  <si>
    <t>0296-24</t>
  </si>
  <si>
    <t>(Transporte de 02-09 de Septiembre de 2024)</t>
  </si>
  <si>
    <t>0319-24</t>
  </si>
  <si>
    <t>0320-24</t>
  </si>
  <si>
    <t>0321-24</t>
  </si>
  <si>
    <t>0322-24</t>
  </si>
  <si>
    <t>0323-24</t>
  </si>
  <si>
    <t>0324-24</t>
  </si>
  <si>
    <t>0297-24</t>
  </si>
  <si>
    <t>0298-24</t>
  </si>
  <si>
    <t>0300-24</t>
  </si>
  <si>
    <t>0301-24</t>
  </si>
  <si>
    <t>0302-24</t>
  </si>
  <si>
    <t>0305-24</t>
  </si>
  <si>
    <t>0307-24</t>
  </si>
  <si>
    <t>0310-24</t>
  </si>
  <si>
    <t>0311-24</t>
  </si>
  <si>
    <t>0312-24</t>
  </si>
  <si>
    <t>0313-24</t>
  </si>
  <si>
    <t>0314-24</t>
  </si>
  <si>
    <t>0315-24</t>
  </si>
  <si>
    <t>0316-24</t>
  </si>
  <si>
    <t>0317-24</t>
  </si>
  <si>
    <t>0318-24</t>
  </si>
  <si>
    <t>(Transporte del 09-24-25-20 de Septiembre de 2024)</t>
  </si>
  <si>
    <t>0303-24</t>
  </si>
  <si>
    <t>0304-24</t>
  </si>
  <si>
    <t>0306-24</t>
  </si>
  <si>
    <t>0308-24</t>
  </si>
  <si>
    <t>0309-24</t>
  </si>
  <si>
    <t>0299-24</t>
  </si>
  <si>
    <t>0334-24</t>
  </si>
  <si>
    <t>0335-24</t>
  </si>
  <si>
    <t>0337-24</t>
  </si>
  <si>
    <t>0338-24</t>
  </si>
  <si>
    <t>0340-24</t>
  </si>
  <si>
    <t>0367-24</t>
  </si>
  <si>
    <t>0371-24</t>
  </si>
  <si>
    <t>0373-24</t>
  </si>
  <si>
    <t>0353-24</t>
  </si>
  <si>
    <t>0356-24</t>
  </si>
  <si>
    <t>0326-24</t>
  </si>
  <si>
    <t>0327-24</t>
  </si>
  <si>
    <t>0328-24</t>
  </si>
  <si>
    <t>0329-24</t>
  </si>
  <si>
    <t>0331-24</t>
  </si>
  <si>
    <t>0333-24</t>
  </si>
  <si>
    <t>0336-24</t>
  </si>
  <si>
    <t>0339-24</t>
  </si>
  <si>
    <t>0341-24</t>
  </si>
  <si>
    <t>0343-24</t>
  </si>
  <si>
    <t>0344-24</t>
  </si>
  <si>
    <t>0345-24</t>
  </si>
  <si>
    <t>0346-24</t>
  </si>
  <si>
    <t>0347-24</t>
  </si>
  <si>
    <t>0350-24</t>
  </si>
  <si>
    <t>0351-24</t>
  </si>
  <si>
    <t>0274A-24</t>
  </si>
  <si>
    <t>0275A-24</t>
  </si>
  <si>
    <t>0276A-24</t>
  </si>
  <si>
    <t>0277A-24</t>
  </si>
  <si>
    <t>0278A-24</t>
  </si>
  <si>
    <t>0279A-24</t>
  </si>
  <si>
    <t>0280A-24</t>
  </si>
  <si>
    <t>0281A-24</t>
  </si>
  <si>
    <t>0282A-24</t>
  </si>
  <si>
    <t>0283A-24</t>
  </si>
  <si>
    <t>0284A-24</t>
  </si>
  <si>
    <t>0285A-24</t>
  </si>
  <si>
    <t>0286A-24</t>
  </si>
  <si>
    <t>0330-24</t>
  </si>
  <si>
    <t>0332-24</t>
  </si>
  <si>
    <t>0342-24</t>
  </si>
  <si>
    <t>0348-24</t>
  </si>
  <si>
    <t>(Transporte de 07-08-15-18-22 de Octubre de 2024)</t>
  </si>
  <si>
    <t>0354-24</t>
  </si>
  <si>
    <t>0355-24</t>
  </si>
  <si>
    <t>0357-24</t>
  </si>
  <si>
    <t>0358-24</t>
  </si>
  <si>
    <t>13-10</t>
  </si>
  <si>
    <t xml:space="preserve">Tracción en cables de siete hilos para refuerzo de 
concreto </t>
  </si>
  <si>
    <t xml:space="preserve">          NTC 2010:2018</t>
  </si>
  <si>
    <t>0382-0388</t>
  </si>
  <si>
    <t>0395-24</t>
  </si>
  <si>
    <t>0396-24</t>
  </si>
  <si>
    <t>0397-24</t>
  </si>
  <si>
    <t>0398-24</t>
  </si>
  <si>
    <t>0399-24</t>
  </si>
  <si>
    <t>0400-24</t>
  </si>
  <si>
    <t>0401-24</t>
  </si>
  <si>
    <t>0402-24</t>
  </si>
  <si>
    <t>0403-24</t>
  </si>
  <si>
    <t>0404-24</t>
  </si>
  <si>
    <t>0405-24</t>
  </si>
  <si>
    <t>0390-24</t>
  </si>
  <si>
    <t>0349-24</t>
  </si>
  <si>
    <t>0352-24</t>
  </si>
  <si>
    <t>0361-24</t>
  </si>
  <si>
    <t>0363-24</t>
  </si>
  <si>
    <t>0364-24</t>
  </si>
  <si>
    <t>0365-24</t>
  </si>
  <si>
    <t>0366-24</t>
  </si>
  <si>
    <t>0368-24</t>
  </si>
  <si>
    <t>0370-24</t>
  </si>
  <si>
    <t>0374-24</t>
  </si>
  <si>
    <t>0375-24</t>
  </si>
  <si>
    <t>0377-24</t>
  </si>
  <si>
    <t>0378-24</t>
  </si>
  <si>
    <t>0379-24</t>
  </si>
  <si>
    <t>0380-24</t>
  </si>
  <si>
    <t>0381-24</t>
  </si>
  <si>
    <t>0389-24</t>
  </si>
  <si>
    <t>0391-24</t>
  </si>
  <si>
    <t>0393-24</t>
  </si>
  <si>
    <t>0406-24</t>
  </si>
  <si>
    <t>0407-24</t>
  </si>
  <si>
    <t>0408-24</t>
  </si>
  <si>
    <t>0409-24</t>
  </si>
  <si>
    <t>0410-24</t>
  </si>
  <si>
    <t>0412-24</t>
  </si>
  <si>
    <t>0362-24</t>
  </si>
  <si>
    <t>0369-24</t>
  </si>
  <si>
    <t>0372-24</t>
  </si>
  <si>
    <t>0376-24</t>
  </si>
  <si>
    <t>0392-24</t>
  </si>
  <si>
    <t>0394-24</t>
  </si>
  <si>
    <t>0411-24</t>
  </si>
  <si>
    <t>0413-24</t>
  </si>
  <si>
    <t>0420-24</t>
  </si>
  <si>
    <t>(Transporte de 05-12-19-27  de Noviembre de 2024)</t>
  </si>
  <si>
    <t>3-1/2-3</t>
  </si>
  <si>
    <t>3-1/4-12</t>
  </si>
  <si>
    <t>3-1/4-3</t>
  </si>
  <si>
    <t>0424-24</t>
  </si>
  <si>
    <t>17-1/1-1</t>
  </si>
  <si>
    <t>0427-24</t>
  </si>
  <si>
    <t>0428-24</t>
  </si>
  <si>
    <t>0433-24</t>
  </si>
  <si>
    <t>0440-24</t>
  </si>
  <si>
    <t>0450-24</t>
  </si>
  <si>
    <t>(Transporte 02-12-2024)</t>
  </si>
  <si>
    <t>17-1/7-1</t>
  </si>
  <si>
    <t>0443-24</t>
  </si>
  <si>
    <t>8-1/2-3</t>
  </si>
  <si>
    <t>0444-24</t>
  </si>
  <si>
    <t>8-1/4-12</t>
  </si>
  <si>
    <t>0445-24</t>
  </si>
  <si>
    <t>8-1/4-3</t>
  </si>
  <si>
    <t>0446-24</t>
  </si>
  <si>
    <t>04147-24</t>
  </si>
  <si>
    <t>8-1/4-9</t>
  </si>
  <si>
    <t>0448-24</t>
  </si>
  <si>
    <t>8-1/4-4</t>
  </si>
  <si>
    <t>0421-24</t>
  </si>
  <si>
    <t>8-1/1-1</t>
  </si>
  <si>
    <t>0422-24</t>
  </si>
  <si>
    <t>0423-24</t>
  </si>
  <si>
    <t>0425-24</t>
  </si>
  <si>
    <t>0429-24</t>
  </si>
  <si>
    <t>0430-24</t>
  </si>
  <si>
    <t>0431-24</t>
  </si>
  <si>
    <t>0432-24</t>
  </si>
  <si>
    <t>0434-24</t>
  </si>
  <si>
    <t>0435-24</t>
  </si>
  <si>
    <t>0437-24</t>
  </si>
  <si>
    <t>0438-24</t>
  </si>
  <si>
    <t>0439-24</t>
  </si>
  <si>
    <t>0441-24</t>
  </si>
  <si>
    <t>0442-24</t>
  </si>
  <si>
    <t>0449-24</t>
  </si>
  <si>
    <t>0010-25</t>
  </si>
  <si>
    <t>8-1/2-7</t>
  </si>
  <si>
    <t>0011-25</t>
  </si>
  <si>
    <t>0012-25</t>
  </si>
  <si>
    <t>0013-25</t>
  </si>
  <si>
    <t>0014-25</t>
  </si>
  <si>
    <t>0015-25</t>
  </si>
  <si>
    <t>0001-25</t>
  </si>
  <si>
    <t>0002-25</t>
  </si>
  <si>
    <t>0003-25</t>
  </si>
  <si>
    <t>0004-25</t>
  </si>
  <si>
    <t>0016-25</t>
  </si>
  <si>
    <t>0017-25</t>
  </si>
  <si>
    <t>0018-25</t>
  </si>
  <si>
    <t>0019-25</t>
  </si>
  <si>
    <t>0024-25</t>
  </si>
  <si>
    <t>0005-25</t>
  </si>
  <si>
    <t>3-1/1-1</t>
  </si>
  <si>
    <t>0006-25</t>
  </si>
  <si>
    <t>0007-25</t>
  </si>
  <si>
    <t>0008-25</t>
  </si>
  <si>
    <t>0009-25</t>
  </si>
  <si>
    <t>0020-25</t>
  </si>
  <si>
    <t>0023-25</t>
  </si>
  <si>
    <t>0021-25</t>
  </si>
  <si>
    <t>0026-25</t>
  </si>
  <si>
    <t>0035-25</t>
  </si>
  <si>
    <t>0039-25</t>
  </si>
  <si>
    <t>0051-25</t>
  </si>
  <si>
    <t>0041-25</t>
  </si>
  <si>
    <t>0042-25</t>
  </si>
  <si>
    <t>0043-25</t>
  </si>
  <si>
    <t>0044-25</t>
  </si>
  <si>
    <t>8-1/4-5</t>
  </si>
  <si>
    <t>0045-25</t>
  </si>
  <si>
    <t>0046-25</t>
  </si>
  <si>
    <t>0047-25</t>
  </si>
  <si>
    <t>0073-25</t>
  </si>
  <si>
    <t>1-2/1-1</t>
  </si>
  <si>
    <t>(Transporte 19 Marzo de 2025)</t>
  </si>
  <si>
    <t>1-2/7-1</t>
  </si>
  <si>
    <t>G4 ingenieros civiles</t>
  </si>
  <si>
    <t>CEDICOORDINADORA12</t>
  </si>
  <si>
    <t xml:space="preserve">Sara Umbariba </t>
  </si>
  <si>
    <t>Recepcionionista</t>
  </si>
  <si>
    <t xml:space="preserve"> sarasofiaumbariba@gmail.com</t>
  </si>
  <si>
    <t>BODEGA</t>
  </si>
  <si>
    <t>KILÓMETRO 11 VIA PICALEÑA</t>
  </si>
  <si>
    <t xml:space="preserve">Ibague- Tolima </t>
  </si>
  <si>
    <t>CEDICOORDINADORA1-2</t>
  </si>
  <si>
    <t xml:space="preserve">Recepcionista </t>
  </si>
  <si>
    <t>0054-25</t>
  </si>
  <si>
    <t>0055-25</t>
  </si>
  <si>
    <t>0057-25</t>
  </si>
  <si>
    <t>0058-25</t>
  </si>
  <si>
    <t>0065-25</t>
  </si>
  <si>
    <t>0106-25</t>
  </si>
  <si>
    <t>0113-25</t>
  </si>
  <si>
    <t>0123-25</t>
  </si>
  <si>
    <t>0089-25</t>
  </si>
  <si>
    <t>0090-25</t>
  </si>
  <si>
    <t>0091-25</t>
  </si>
  <si>
    <t>0092-25</t>
  </si>
  <si>
    <t>0093-25</t>
  </si>
  <si>
    <t>0094-25</t>
  </si>
  <si>
    <t>0095-25</t>
  </si>
  <si>
    <t>0129-25</t>
  </si>
  <si>
    <t>15-1/2-7</t>
  </si>
  <si>
    <t>0130-25</t>
  </si>
  <si>
    <t>15-1/4-12</t>
  </si>
  <si>
    <t>0131-25</t>
  </si>
  <si>
    <t>15-1/4-5</t>
  </si>
  <si>
    <t>0132-25</t>
  </si>
  <si>
    <t>15-1/4-3</t>
  </si>
  <si>
    <t>0133-25</t>
  </si>
  <si>
    <t>15-1/4-2</t>
  </si>
  <si>
    <t>0125-25</t>
  </si>
  <si>
    <t>(Transporte de Abril de 2025)</t>
  </si>
  <si>
    <t>0151-25</t>
  </si>
  <si>
    <t>3-1/2-7</t>
  </si>
  <si>
    <t>0152-25</t>
  </si>
  <si>
    <t>0153-25</t>
  </si>
  <si>
    <t>3-1/4-5</t>
  </si>
  <si>
    <t>0154-25</t>
  </si>
  <si>
    <t>3-1/4-8</t>
  </si>
  <si>
    <t>0135-25</t>
  </si>
  <si>
    <t>0138-25</t>
  </si>
  <si>
    <t>0140-25</t>
  </si>
  <si>
    <t>0144-25</t>
  </si>
  <si>
    <t>0146-25</t>
  </si>
  <si>
    <t>0149-25</t>
  </si>
  <si>
    <t>0187-25</t>
  </si>
  <si>
    <t>0160-25</t>
  </si>
  <si>
    <t>0161-25</t>
  </si>
  <si>
    <t>0162-25</t>
  </si>
  <si>
    <t>0163-25</t>
  </si>
  <si>
    <t>0164-25</t>
  </si>
  <si>
    <t>0165-25</t>
  </si>
  <si>
    <t>0166-25</t>
  </si>
  <si>
    <t>0168-25</t>
  </si>
  <si>
    <t>0173-25</t>
  </si>
  <si>
    <t>0185-25</t>
  </si>
  <si>
    <t>0189-25</t>
  </si>
  <si>
    <t>(Transporte de 15-26 de Mayo de 2025)</t>
  </si>
  <si>
    <t>0202-25</t>
  </si>
  <si>
    <t>0210-25</t>
  </si>
  <si>
    <t>0206-25</t>
  </si>
  <si>
    <t>0211-25</t>
  </si>
  <si>
    <t>0224-25</t>
  </si>
  <si>
    <t>0230-25</t>
  </si>
  <si>
    <t>0232-25</t>
  </si>
  <si>
    <t>(Transporte del 17 y 24 de Junio de 2025)</t>
  </si>
  <si>
    <t>0240-25</t>
  </si>
  <si>
    <t>0241-25</t>
  </si>
  <si>
    <t>0242-25</t>
  </si>
  <si>
    <t>0243-25</t>
  </si>
  <si>
    <t>0244-25</t>
  </si>
  <si>
    <t>0245-25</t>
  </si>
  <si>
    <t>0246-25</t>
  </si>
  <si>
    <t>0270-25</t>
  </si>
  <si>
    <t>0271-25</t>
  </si>
  <si>
    <t>0272-25</t>
  </si>
  <si>
    <t>0273-25</t>
  </si>
  <si>
    <t>0274-25</t>
  </si>
  <si>
    <t>0275-25</t>
  </si>
  <si>
    <t>0276-25</t>
  </si>
  <si>
    <t>0282-25</t>
  </si>
  <si>
    <t>0283-25</t>
  </si>
  <si>
    <t>0284-25</t>
  </si>
  <si>
    <t>0285-25</t>
  </si>
  <si>
    <t>0290-25</t>
  </si>
  <si>
    <t>8-1/2-4</t>
  </si>
  <si>
    <t>0291-25</t>
  </si>
  <si>
    <t>8-1/2-5</t>
  </si>
  <si>
    <t>0287-25</t>
  </si>
  <si>
    <t>0268-25</t>
  </si>
  <si>
    <t>0277-25</t>
  </si>
  <si>
    <t>0340-25</t>
  </si>
  <si>
    <t>0341-25</t>
  </si>
  <si>
    <t>0342-25</t>
  </si>
  <si>
    <t>0344-25</t>
  </si>
  <si>
    <t>0345-25</t>
  </si>
  <si>
    <t>0346-25</t>
  </si>
  <si>
    <t>0253-25</t>
  </si>
  <si>
    <t>0260-25</t>
  </si>
  <si>
    <t>0264-25</t>
  </si>
  <si>
    <t>0267-25</t>
  </si>
  <si>
    <t>0279-25</t>
  </si>
  <si>
    <t>0288-25</t>
  </si>
  <si>
    <t>0293-25</t>
  </si>
  <si>
    <t>0316-25</t>
  </si>
  <si>
    <t>(TRANSPORTE 02-08-18 JULIO)</t>
  </si>
  <si>
    <t>0343-25</t>
  </si>
  <si>
    <t>CONSTRUCCIONES DALABU SAS</t>
  </si>
  <si>
    <t>0364-25</t>
  </si>
  <si>
    <t>0366-25</t>
  </si>
  <si>
    <t>0353-25</t>
  </si>
  <si>
    <t>2-1/1-1</t>
  </si>
  <si>
    <t>0355-25</t>
  </si>
  <si>
    <t>0359-25</t>
  </si>
  <si>
    <t>0361-25</t>
  </si>
  <si>
    <t>0369-25</t>
  </si>
  <si>
    <t>0371-25</t>
  </si>
  <si>
    <t>0374-25</t>
  </si>
  <si>
    <t>0378-25</t>
  </si>
  <si>
    <t>0379-25</t>
  </si>
  <si>
    <t>0380-25</t>
  </si>
  <si>
    <t>0385-25</t>
  </si>
  <si>
    <t>0387-25</t>
  </si>
  <si>
    <t>0397-25</t>
  </si>
  <si>
    <t>0400-25</t>
  </si>
  <si>
    <t>0404-25</t>
  </si>
  <si>
    <t>0409-25</t>
  </si>
  <si>
    <t>Transporte( 11-18-26 septiembre)</t>
  </si>
  <si>
    <t>2-1/7-1</t>
  </si>
  <si>
    <t>0390-25</t>
  </si>
  <si>
    <t>0391-25</t>
  </si>
  <si>
    <t>0392-25</t>
  </si>
  <si>
    <t>0393-25</t>
  </si>
  <si>
    <t>0394-25</t>
  </si>
  <si>
    <t>0395-25</t>
  </si>
  <si>
    <t>0396-25</t>
  </si>
  <si>
    <t>0445-25</t>
  </si>
  <si>
    <t>0446-25</t>
  </si>
  <si>
    <t>0447-25</t>
  </si>
  <si>
    <t>0448-25</t>
  </si>
  <si>
    <t>0449-25</t>
  </si>
  <si>
    <t>0450-25</t>
  </si>
  <si>
    <t>0451-25</t>
  </si>
  <si>
    <t>BODEGA EL ARADO</t>
  </si>
  <si>
    <t>0411-25</t>
  </si>
  <si>
    <t>0414-25</t>
  </si>
  <si>
    <t>0416-25</t>
  </si>
  <si>
    <t>0419-25</t>
  </si>
  <si>
    <t>0422-25</t>
  </si>
  <si>
    <t>0423-25</t>
  </si>
  <si>
    <t>0425-25</t>
  </si>
  <si>
    <t>0427-25</t>
  </si>
  <si>
    <t>0429-25</t>
  </si>
  <si>
    <t>0432-25</t>
  </si>
  <si>
    <t>0435-25</t>
  </si>
  <si>
    <t>0437-25</t>
  </si>
  <si>
    <t>0440-25</t>
  </si>
  <si>
    <t>0441-25</t>
  </si>
  <si>
    <t>0455-25</t>
  </si>
  <si>
    <t>0462-25</t>
  </si>
  <si>
    <t>0464-25</t>
  </si>
  <si>
    <t>Trasporte (09-30 Octubre 2025)</t>
  </si>
  <si>
    <t>0502-25</t>
  </si>
  <si>
    <t>0503-25</t>
  </si>
  <si>
    <t>0504-25</t>
  </si>
  <si>
    <t>0505-25</t>
  </si>
  <si>
    <t>0506-25</t>
  </si>
  <si>
    <t>0507-25</t>
  </si>
  <si>
    <t>0508-25</t>
  </si>
  <si>
    <t>0497-25</t>
  </si>
  <si>
    <t>2-1/2-5</t>
  </si>
  <si>
    <t>0467-25</t>
  </si>
  <si>
    <t>0473-25</t>
  </si>
  <si>
    <t>0478-25</t>
  </si>
  <si>
    <t>0483-25</t>
  </si>
  <si>
    <t>0485-25</t>
  </si>
  <si>
    <t>0492-25</t>
  </si>
  <si>
    <t>0515-25</t>
  </si>
  <si>
    <t>0519-25</t>
  </si>
  <si>
    <t>0520-25</t>
  </si>
  <si>
    <t>0529-25</t>
  </si>
  <si>
    <t>0530-25</t>
  </si>
  <si>
    <t>0535-25</t>
  </si>
  <si>
    <t>0539-39</t>
  </si>
  <si>
    <t>Transporte Diciembre (17-30)</t>
  </si>
  <si>
    <t>Transporte enero (19-29)</t>
  </si>
  <si>
    <t>0001-26</t>
  </si>
  <si>
    <t>0003-26</t>
  </si>
  <si>
    <t>0004-26</t>
  </si>
  <si>
    <t>0007-26</t>
  </si>
  <si>
    <t>0012-26</t>
  </si>
  <si>
    <t>0014-26</t>
  </si>
  <si>
    <t>0015-26</t>
  </si>
  <si>
    <t>0016-26</t>
  </si>
  <si>
    <t>0017-26</t>
  </si>
  <si>
    <t>TRANSPORTE FEBRERO (05-12-18-24)</t>
  </si>
  <si>
    <t>0018-26</t>
  </si>
  <si>
    <t>0019-26</t>
  </si>
  <si>
    <t>0020-26</t>
  </si>
  <si>
    <t>0024-26</t>
  </si>
  <si>
    <t>0025-26</t>
  </si>
  <si>
    <t>0026-26</t>
  </si>
  <si>
    <t>0027-26</t>
  </si>
  <si>
    <t>0028-26</t>
  </si>
  <si>
    <t>0029-26</t>
  </si>
  <si>
    <t>0030-26</t>
  </si>
  <si>
    <t>0031-26</t>
  </si>
  <si>
    <t>0032-26</t>
  </si>
  <si>
    <t>0033-26</t>
  </si>
  <si>
    <t>0034-26</t>
  </si>
  <si>
    <t>0035-26</t>
  </si>
  <si>
    <t>0036-26</t>
  </si>
  <si>
    <t>0037-26</t>
  </si>
  <si>
    <t>0050-26</t>
  </si>
  <si>
    <t>0039-26</t>
  </si>
  <si>
    <t>0041-26</t>
  </si>
  <si>
    <t>0043-26</t>
  </si>
  <si>
    <t>0051-26</t>
  </si>
  <si>
    <t>0052-26</t>
  </si>
  <si>
    <t>0040-26</t>
  </si>
  <si>
    <t>0042-26</t>
  </si>
  <si>
    <t>0044-26</t>
  </si>
  <si>
    <t>0045-26</t>
  </si>
  <si>
    <t>0047-26</t>
  </si>
  <si>
    <t>0048-26</t>
  </si>
  <si>
    <t>0053-26</t>
  </si>
  <si>
    <t>0055-26</t>
  </si>
  <si>
    <t>0056-26</t>
  </si>
  <si>
    <t>0058-26</t>
  </si>
  <si>
    <t>0059-26</t>
  </si>
  <si>
    <t>0060-26</t>
  </si>
  <si>
    <t>0061-26</t>
  </si>
  <si>
    <t>0062-26</t>
  </si>
  <si>
    <t>0063-26</t>
  </si>
  <si>
    <t>0064-26</t>
  </si>
  <si>
    <t>0065-26</t>
  </si>
  <si>
    <t>0067-26</t>
  </si>
  <si>
    <t>0070-26</t>
  </si>
  <si>
    <t>TRANSPORTE MARZO (03-06-13-20)</t>
  </si>
  <si>
    <t>0078-26</t>
  </si>
  <si>
    <t>0079-26</t>
  </si>
  <si>
    <t>0081-26</t>
  </si>
  <si>
    <t>0084-26</t>
  </si>
  <si>
    <t>0072-26</t>
  </si>
  <si>
    <t>0075-26</t>
  </si>
  <si>
    <t>0076-26</t>
  </si>
  <si>
    <t>0083-26</t>
  </si>
  <si>
    <t>0085-26</t>
  </si>
  <si>
    <t>0087-26</t>
  </si>
  <si>
    <t>0093-26</t>
  </si>
  <si>
    <t>0095-26</t>
  </si>
  <si>
    <t>TRASNPORTE ABRIL 2026 (07-20)</t>
  </si>
  <si>
    <t>0089-26</t>
  </si>
  <si>
    <t>17-1/5-2</t>
  </si>
  <si>
    <t>0090-26</t>
  </si>
  <si>
    <t>0091-26</t>
  </si>
  <si>
    <t>0092-26</t>
  </si>
  <si>
    <t>0098-26</t>
  </si>
  <si>
    <t>0099-26</t>
  </si>
  <si>
    <t>0100-26</t>
  </si>
  <si>
    <t>0102-26</t>
  </si>
  <si>
    <t>0104-26</t>
  </si>
  <si>
    <t>TRANSPORTE MAYO (07)</t>
  </si>
  <si>
    <t>0108-26</t>
  </si>
  <si>
    <t>0109-26</t>
  </si>
  <si>
    <t>0122-26</t>
  </si>
  <si>
    <t>0125-26</t>
  </si>
  <si>
    <t>0127-26</t>
  </si>
  <si>
    <t>TRANSPORTE JUNIO (02-25)</t>
  </si>
  <si>
    <t>0107-26</t>
  </si>
  <si>
    <t>0123-26</t>
  </si>
  <si>
    <t>0124-26</t>
  </si>
  <si>
    <t>0126-26</t>
  </si>
  <si>
    <t>0128-26</t>
  </si>
  <si>
    <t>0129-26</t>
  </si>
  <si>
    <t>SIKA</t>
  </si>
  <si>
    <t>0130-26</t>
  </si>
  <si>
    <t>0133-26</t>
  </si>
  <si>
    <t>0134-26</t>
  </si>
  <si>
    <t>0137-26</t>
  </si>
  <si>
    <t>0142-26</t>
  </si>
  <si>
    <t>0143-26</t>
  </si>
  <si>
    <t>0147-26</t>
  </si>
  <si>
    <t>TRANSPORTE JULIO (02-10)</t>
  </si>
  <si>
    <t>0116-26</t>
  </si>
  <si>
    <t>1-3/2-3</t>
  </si>
  <si>
    <t>0117-26</t>
  </si>
  <si>
    <t>1-3/4-2</t>
  </si>
  <si>
    <t>0118-26</t>
  </si>
  <si>
    <t>1-3/4-4</t>
  </si>
  <si>
    <t>0119-26</t>
  </si>
  <si>
    <t>0120-26</t>
  </si>
  <si>
    <t>0121-26</t>
  </si>
  <si>
    <t>0110-26</t>
  </si>
  <si>
    <t>0111-26</t>
  </si>
  <si>
    <t>0112-26</t>
  </si>
  <si>
    <t>1-3/4-3</t>
  </si>
  <si>
    <t>0113-26</t>
  </si>
  <si>
    <t>0114-26</t>
  </si>
  <si>
    <t>0115-26</t>
  </si>
  <si>
    <t>PERSONAL (04-05)</t>
  </si>
  <si>
    <t>11-2l</t>
  </si>
  <si>
    <t>1-3/11-2l</t>
  </si>
  <si>
    <t>1-3/1-1</t>
  </si>
  <si>
    <t>PERSONAL (11-12)</t>
  </si>
  <si>
    <t>0131-26</t>
  </si>
  <si>
    <t>0132-26</t>
  </si>
  <si>
    <t>0135-26</t>
  </si>
  <si>
    <t>0136-26</t>
  </si>
  <si>
    <t>0138-26</t>
  </si>
  <si>
    <t>0139-26</t>
  </si>
  <si>
    <t>0140-26</t>
  </si>
  <si>
    <t>0141-26</t>
  </si>
  <si>
    <t>0144-26</t>
  </si>
  <si>
    <t>0145-26</t>
  </si>
  <si>
    <t>0146-26</t>
  </si>
  <si>
    <t>0148-26</t>
  </si>
  <si>
    <t>0149-26</t>
  </si>
  <si>
    <t>0150-26</t>
  </si>
  <si>
    <t>0151-26</t>
  </si>
  <si>
    <t>0153-26</t>
  </si>
  <si>
    <t>0155-26</t>
  </si>
  <si>
    <t>0156-26</t>
  </si>
  <si>
    <t>DIA DE PERSONAL JULIO(25-26-31)</t>
  </si>
  <si>
    <t>1-3/11-2L</t>
  </si>
  <si>
    <t>DIA DE PERSONAL AGOSTO (01)</t>
  </si>
  <si>
    <t>0152-26</t>
  </si>
  <si>
    <t>0158-26</t>
  </si>
  <si>
    <t>0160-26</t>
  </si>
  <si>
    <t>0161-26</t>
  </si>
  <si>
    <t>0163-26</t>
  </si>
  <si>
    <t>0159-26</t>
  </si>
  <si>
    <t>0164-26</t>
  </si>
  <si>
    <t>1-2/2-5</t>
  </si>
  <si>
    <t>0154-26</t>
  </si>
  <si>
    <t>0162-26</t>
  </si>
  <si>
    <t>TRANSPORTE AGOSTO (25)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</si>
</sst>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.00_);\(&quot;$&quot;#,##0.00\)"/>
    <numFmt numFmtId="165" formatCode="_(&quot;$&quot;* #,##0.00_);_(&quot;$&quot;* \(#,##0.00\);_(&quot;$&quot;* &quot;-&quot;??_);_(@_)"/>
    <numFmt numFmtId="166" formatCode="_(&quot;$&quot;\ * #,##0_);_(&quot;$&quot;\ * \(#,##0\);_(&quot;$&quot;\ * &quot;-&quot;??_);_(@_)"/>
    <numFmt numFmtId="167" formatCode="yyyy\-mm\-dd;@"/>
    <numFmt numFmtId="168" formatCode="d&quot; de &quot;mmmm&quot; de &quot;yyyy"/>
    <numFmt numFmtId="169" formatCode="m/d/yy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Calibri"/>
      <family val="2"/>
    </font>
    <font>
      <b/>
      <sz val="9"/>
      <color indexed="81"/>
      <name val="Tahoma"/>
      <family val="2"/>
    </font>
    <font>
      <b/>
      <sz val="9"/>
      <color rgb="FF595959"/>
      <name val="Verdana"/>
      <family val="2"/>
    </font>
    <font>
      <b/>
      <i/>
      <sz val="22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Arial"/>
      <family val="2"/>
    </font>
    <font>
      <sz val="12"/>
      <name val="Calibri"/>
      <family val="2"/>
      <scheme val="minor"/>
    </font>
    <font>
      <sz val="8"/>
      <name val="Arial"/>
      <family val="2"/>
    </font>
    <font>
      <u/>
      <sz val="8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8" fillId="0" borderId="0"/>
  </cellStyleXfs>
  <cellXfs count="127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49" fontId="6" fillId="2" borderId="2" xfId="0" applyNumberFormat="1" applyFont="1" applyFill="1" applyBorder="1" applyAlignment="1">
      <alignment horizontal="center" vertical="center"/>
    </xf>
    <xf numFmtId="49" fontId="6" fillId="2" borderId="3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vertical="center"/>
    </xf>
    <xf numFmtId="0" fontId="0" fillId="3" borderId="4" xfId="0" applyFill="1" applyBorder="1"/>
    <xf numFmtId="0" fontId="7" fillId="0" borderId="5" xfId="0" applyFont="1" applyBorder="1" applyAlignment="1">
      <alignment horizontal="center" vertical="center" wrapText="1"/>
    </xf>
    <xf numFmtId="0" fontId="7" fillId="0" borderId="5" xfId="0" applyFont="1" applyBorder="1" applyAlignment="1">
      <alignment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vertical="center" wrapText="1"/>
    </xf>
    <xf numFmtId="166" fontId="3" fillId="0" borderId="5" xfId="1" applyNumberFormat="1" applyFont="1" applyBorder="1" applyAlignment="1">
      <alignment wrapText="1"/>
    </xf>
    <xf numFmtId="0" fontId="0" fillId="3" borderId="5" xfId="0" applyFill="1" applyBorder="1"/>
    <xf numFmtId="0" fontId="3" fillId="0" borderId="5" xfId="0" applyFont="1" applyBorder="1" applyAlignment="1">
      <alignment wrapText="1"/>
    </xf>
    <xf numFmtId="0" fontId="3" fillId="0" borderId="5" xfId="0" applyFont="1" applyBorder="1" applyAlignment="1">
      <alignment horizontal="center" wrapText="1"/>
    </xf>
    <xf numFmtId="166" fontId="0" fillId="0" borderId="5" xfId="1" applyNumberFormat="1" applyFont="1" applyBorder="1" applyAlignment="1">
      <alignment wrapText="1"/>
    </xf>
    <xf numFmtId="166" fontId="4" fillId="0" borderId="5" xfId="1" applyNumberFormat="1" applyFont="1" applyBorder="1" applyAlignment="1">
      <alignment wrapText="1"/>
    </xf>
    <xf numFmtId="166" fontId="2" fillId="0" borderId="5" xfId="1" applyNumberFormat="1" applyFont="1" applyBorder="1" applyAlignment="1">
      <alignment wrapText="1"/>
    </xf>
    <xf numFmtId="0" fontId="8" fillId="0" borderId="5" xfId="0" applyFont="1" applyBorder="1" applyAlignment="1">
      <alignment vertical="center" wrapText="1"/>
    </xf>
    <xf numFmtId="49" fontId="0" fillId="0" borderId="0" xfId="0" applyNumberFormat="1"/>
    <xf numFmtId="0" fontId="6" fillId="3" borderId="5" xfId="0" applyFont="1" applyFill="1" applyBorder="1" applyAlignment="1">
      <alignment vertical="center" wrapText="1"/>
    </xf>
    <xf numFmtId="49" fontId="7" fillId="0" borderId="5" xfId="0" applyNumberFormat="1" applyFont="1" applyBorder="1" applyAlignment="1">
      <alignment horizontal="center" vertical="center" wrapText="1"/>
    </xf>
    <xf numFmtId="2" fontId="6" fillId="3" borderId="4" xfId="0" applyNumberFormat="1" applyFont="1" applyFill="1" applyBorder="1" applyAlignment="1">
      <alignment vertical="center"/>
    </xf>
    <xf numFmtId="1" fontId="6" fillId="3" borderId="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wrapText="1"/>
    </xf>
    <xf numFmtId="14" fontId="0" fillId="0" borderId="0" xfId="0" applyNumberFormat="1"/>
    <xf numFmtId="0" fontId="5" fillId="0" borderId="0" xfId="0" applyFont="1"/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vertical="center" wrapText="1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vertical="center" wrapText="1"/>
    </xf>
    <xf numFmtId="0" fontId="0" fillId="0" borderId="5" xfId="0" applyBorder="1"/>
    <xf numFmtId="49" fontId="7" fillId="0" borderId="6" xfId="0" applyNumberFormat="1" applyFont="1" applyBorder="1" applyAlignment="1">
      <alignment horizontal="center" vertical="center" wrapText="1"/>
    </xf>
    <xf numFmtId="0" fontId="7" fillId="0" borderId="6" xfId="0" applyFont="1" applyBorder="1" applyAlignment="1">
      <alignment vertical="center" wrapText="1"/>
    </xf>
    <xf numFmtId="0" fontId="7" fillId="0" borderId="6" xfId="0" applyFont="1" applyBorder="1" applyAlignment="1">
      <alignment horizontal="center" vertical="center" wrapText="1"/>
    </xf>
    <xf numFmtId="166" fontId="0" fillId="0" borderId="6" xfId="1" applyNumberFormat="1" applyFont="1" applyBorder="1" applyAlignment="1">
      <alignment wrapText="1"/>
    </xf>
    <xf numFmtId="0" fontId="0" fillId="0" borderId="5" xfId="0" applyBorder="1" applyAlignment="1">
      <alignment horizontal="center"/>
    </xf>
    <xf numFmtId="1" fontId="6" fillId="3" borderId="7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 wrapText="1"/>
    </xf>
    <xf numFmtId="0" fontId="0" fillId="3" borderId="7" xfId="0" applyFill="1" applyBorder="1"/>
    <xf numFmtId="0" fontId="0" fillId="4" borderId="0" xfId="0" applyFill="1" applyAlignment="1">
      <alignment horizontal="center"/>
    </xf>
    <xf numFmtId="166" fontId="3" fillId="3" borderId="5" xfId="1" applyNumberFormat="1" applyFont="1" applyFill="1" applyBorder="1" applyAlignment="1">
      <alignment wrapText="1"/>
    </xf>
    <xf numFmtId="166" fontId="0" fillId="3" borderId="5" xfId="1" applyNumberFormat="1" applyFont="1" applyFill="1" applyBorder="1" applyAlignment="1">
      <alignment wrapText="1"/>
    </xf>
    <xf numFmtId="166" fontId="4" fillId="3" borderId="5" xfId="1" applyNumberFormat="1" applyFont="1" applyFill="1" applyBorder="1" applyAlignment="1">
      <alignment wrapText="1"/>
    </xf>
    <xf numFmtId="166" fontId="0" fillId="3" borderId="6" xfId="1" applyNumberFormat="1" applyFont="1" applyFill="1" applyBorder="1" applyAlignment="1">
      <alignment wrapText="1"/>
    </xf>
    <xf numFmtId="167" fontId="0" fillId="6" borderId="0" xfId="0" applyNumberFormat="1" applyFill="1"/>
    <xf numFmtId="165" fontId="0" fillId="0" borderId="5" xfId="1" applyFont="1" applyBorder="1"/>
    <xf numFmtId="14" fontId="0" fillId="4" borderId="0" xfId="0" applyNumberFormat="1" applyFill="1" applyAlignment="1">
      <alignment horizontal="center"/>
    </xf>
    <xf numFmtId="166" fontId="1" fillId="3" borderId="5" xfId="1" applyNumberFormat="1" applyFont="1" applyFill="1" applyBorder="1" applyAlignment="1">
      <alignment wrapText="1"/>
    </xf>
    <xf numFmtId="166" fontId="1" fillId="0" borderId="5" xfId="1" applyNumberFormat="1" applyFont="1" applyBorder="1" applyAlignment="1">
      <alignment wrapText="1"/>
    </xf>
    <xf numFmtId="166" fontId="1" fillId="6" borderId="5" xfId="1" applyNumberFormat="1" applyFont="1" applyFill="1" applyBorder="1" applyAlignment="1">
      <alignment wrapText="1"/>
    </xf>
    <xf numFmtId="166" fontId="1" fillId="5" borderId="5" xfId="1" applyNumberFormat="1" applyFont="1" applyFill="1" applyBorder="1" applyAlignment="1">
      <alignment wrapText="1"/>
    </xf>
    <xf numFmtId="49" fontId="7" fillId="0" borderId="4" xfId="0" applyNumberFormat="1" applyFont="1" applyBorder="1" applyAlignment="1">
      <alignment horizontal="center" vertical="center" wrapText="1"/>
    </xf>
    <xf numFmtId="166" fontId="0" fillId="5" borderId="5" xfId="1" applyNumberFormat="1" applyFont="1" applyFill="1" applyBorder="1" applyAlignment="1">
      <alignment wrapText="1"/>
    </xf>
    <xf numFmtId="0" fontId="0" fillId="0" borderId="5" xfId="0" applyBorder="1" applyAlignment="1">
      <alignment wrapText="1"/>
    </xf>
    <xf numFmtId="9" fontId="6" fillId="3" borderId="4" xfId="0" applyNumberFormat="1" applyFon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/>
    <xf numFmtId="16" fontId="0" fillId="0" borderId="0" xfId="0" applyNumberFormat="1"/>
    <xf numFmtId="0" fontId="8" fillId="0" borderId="5" xfId="4" applyBorder="1" applyAlignment="1">
      <alignment horizontal="left" vertical="center" wrapText="1"/>
    </xf>
    <xf numFmtId="0" fontId="8" fillId="0" borderId="0" xfId="4"/>
    <xf numFmtId="49" fontId="8" fillId="0" borderId="0" xfId="4" applyNumberFormat="1" applyAlignment="1">
      <alignment horizontal="center"/>
    </xf>
    <xf numFmtId="49" fontId="15" fillId="7" borderId="8" xfId="0" applyNumberFormat="1" applyFont="1" applyFill="1" applyBorder="1" applyAlignment="1">
      <alignment horizontal="center"/>
    </xf>
    <xf numFmtId="0" fontId="15" fillId="7" borderId="8" xfId="0" applyFont="1" applyFill="1" applyBorder="1" applyAlignment="1">
      <alignment horizontal="center"/>
    </xf>
    <xf numFmtId="49" fontId="8" fillId="0" borderId="0" xfId="4" applyNumberFormat="1" applyAlignment="1">
      <alignment horizontal="center" vertical="center"/>
    </xf>
    <xf numFmtId="0" fontId="8" fillId="0" borderId="0" xfId="4" applyAlignment="1">
      <alignment vertical="center"/>
    </xf>
    <xf numFmtId="49" fontId="8" fillId="0" borderId="0" xfId="4" applyNumberFormat="1" applyAlignment="1">
      <alignment vertical="center"/>
    </xf>
    <xf numFmtId="0" fontId="8" fillId="0" borderId="0" xfId="4" applyAlignment="1">
      <alignment horizontal="center" vertical="center"/>
    </xf>
    <xf numFmtId="0" fontId="16" fillId="0" borderId="0" xfId="3" applyBorder="1" applyAlignment="1">
      <alignment vertical="center"/>
    </xf>
    <xf numFmtId="0" fontId="8" fillId="0" borderId="0" xfId="4" applyAlignment="1">
      <alignment vertical="center" wrapText="1"/>
    </xf>
    <xf numFmtId="0" fontId="18" fillId="0" borderId="0" xfId="4" applyFont="1" applyAlignment="1">
      <alignment vertical="center"/>
    </xf>
    <xf numFmtId="16" fontId="8" fillId="0" borderId="0" xfId="4" applyNumberFormat="1" applyAlignment="1">
      <alignment vertical="center"/>
    </xf>
    <xf numFmtId="0" fontId="8" fillId="5" borderId="0" xfId="4" applyFill="1" applyAlignment="1">
      <alignment vertical="center"/>
    </xf>
    <xf numFmtId="168" fontId="8" fillId="0" borderId="0" xfId="4" applyNumberFormat="1" applyAlignment="1">
      <alignment vertical="center"/>
    </xf>
    <xf numFmtId="0" fontId="16" fillId="0" borderId="0" xfId="3" applyFill="1" applyBorder="1" applyAlignment="1">
      <alignment vertical="center"/>
    </xf>
    <xf numFmtId="0" fontId="8" fillId="0" borderId="0" xfId="4" applyAlignment="1">
      <alignment horizontal="left" vertical="center"/>
    </xf>
    <xf numFmtId="0" fontId="15" fillId="7" borderId="0" xfId="0" applyFont="1" applyFill="1" applyAlignment="1">
      <alignment horizontal="center" vertical="center" wrapText="1"/>
    </xf>
    <xf numFmtId="0" fontId="19" fillId="0" borderId="0" xfId="4" applyFont="1" applyAlignment="1">
      <alignment vertical="center" wrapText="1"/>
    </xf>
    <xf numFmtId="0" fontId="19" fillId="0" borderId="0" xfId="4" applyFont="1" applyAlignment="1">
      <alignment horizontal="center" vertical="center"/>
    </xf>
    <xf numFmtId="49" fontId="19" fillId="0" borderId="0" xfId="4" applyNumberFormat="1" applyFont="1" applyAlignment="1">
      <alignment horizontal="center" vertical="center"/>
    </xf>
    <xf numFmtId="0" fontId="19" fillId="0" borderId="0" xfId="4" applyFont="1" applyAlignment="1">
      <alignment vertical="center"/>
    </xf>
    <xf numFmtId="168" fontId="19" fillId="0" borderId="0" xfId="4" applyNumberFormat="1" applyFont="1" applyAlignment="1">
      <alignment vertical="center"/>
    </xf>
    <xf numFmtId="49" fontId="19" fillId="0" borderId="0" xfId="4" applyNumberFormat="1" applyFont="1" applyAlignment="1">
      <alignment vertical="center"/>
    </xf>
    <xf numFmtId="0" fontId="19" fillId="0" borderId="0" xfId="4" applyFont="1" applyAlignment="1">
      <alignment horizontal="left" vertical="center"/>
    </xf>
    <xf numFmtId="0" fontId="20" fillId="0" borderId="0" xfId="3" applyFont="1" applyBorder="1" applyAlignment="1">
      <alignment vertical="center"/>
    </xf>
    <xf numFmtId="0" fontId="20" fillId="0" borderId="0" xfId="3" applyFont="1" applyFill="1" applyBorder="1" applyAlignme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15" fillId="7" borderId="0" xfId="0" applyFont="1" applyFill="1" applyAlignment="1">
      <alignment vertical="center"/>
    </xf>
    <xf numFmtId="49" fontId="0" fillId="0" borderId="0" xfId="0" quotePrefix="1" applyNumberFormat="1" applyAlignment="1">
      <alignment vertical="center"/>
    </xf>
    <xf numFmtId="49" fontId="0" fillId="8" borderId="17" xfId="0" applyNumberFormat="1" applyFill="1" applyBorder="1" applyAlignment="1">
      <alignment vertical="center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15" fillId="7" borderId="8" xfId="0" applyFont="1" applyFill="1" applyBorder="1"/>
    <xf numFmtId="169" fontId="0" fillId="4" borderId="0" xfId="0" applyNumberFormat="1" applyFill="1" applyAlignment="1">
      <alignment horizontal="center"/>
    </xf>
    <xf numFmtId="16" fontId="19" fillId="0" borderId="0" xfId="4" applyNumberFormat="1" applyFont="1" applyAlignment="1">
      <alignment horizontal="center" vertical="center"/>
    </xf>
    <xf numFmtId="0" fontId="0" fillId="3" borderId="0" xfId="0" applyFill="1"/>
    <xf numFmtId="49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Fill="1" applyAlignment="1" applyProtection="1">
      <alignment horizontal="center"/>
      <protection locked="0"/>
    </xf>
    <xf numFmtId="0" fontId="0" fillId="0" borderId="0" xfId="0" applyNumberFormat="1"/>
    <xf numFmtId="0" fontId="0" fillId="0" borderId="0" xfId="0" applyNumberFormat="1" applyFill="1" applyAlignment="1">
      <alignment horizontal="center"/>
    </xf>
    <xf numFmtId="0" fontId="0" fillId="0" borderId="0" xfId="0" applyNumberFormat="1" applyFill="1"/>
    <xf numFmtId="0" fontId="8" fillId="0" borderId="5" xfId="4" applyBorder="1" applyAlignment="1">
      <alignment horizontal="center"/>
    </xf>
    <xf numFmtId="0" fontId="17" fillId="0" borderId="9" xfId="4" applyFont="1" applyBorder="1" applyAlignment="1">
      <alignment horizontal="center" vertical="center" wrapText="1"/>
    </xf>
    <xf numFmtId="0" fontId="17" fillId="0" borderId="10" xfId="4" applyFont="1" applyBorder="1" applyAlignment="1">
      <alignment horizontal="center" vertical="center" wrapText="1"/>
    </xf>
    <xf numFmtId="0" fontId="17" fillId="0" borderId="11" xfId="4" applyFont="1" applyBorder="1" applyAlignment="1">
      <alignment horizontal="center" vertical="center" wrapText="1"/>
    </xf>
    <xf numFmtId="0" fontId="17" fillId="0" borderId="12" xfId="4" applyFont="1" applyBorder="1" applyAlignment="1">
      <alignment horizontal="center" vertical="center" wrapText="1"/>
    </xf>
    <xf numFmtId="0" fontId="17" fillId="0" borderId="0" xfId="4" applyFont="1" applyAlignment="1">
      <alignment horizontal="center" vertical="center" wrapText="1"/>
    </xf>
    <xf numFmtId="0" fontId="17" fillId="0" borderId="13" xfId="4" applyFont="1" applyBorder="1" applyAlignment="1">
      <alignment horizontal="center" vertical="center" wrapText="1"/>
    </xf>
    <xf numFmtId="0" fontId="17" fillId="0" borderId="14" xfId="4" applyFont="1" applyBorder="1" applyAlignment="1">
      <alignment horizontal="center" vertical="center" wrapText="1"/>
    </xf>
    <xf numFmtId="0" fontId="17" fillId="0" borderId="15" xfId="4" applyFont="1" applyBorder="1" applyAlignment="1">
      <alignment horizontal="center" vertical="center" wrapText="1"/>
    </xf>
    <xf numFmtId="0" fontId="17" fillId="0" borderId="16" xfId="4" applyFont="1" applyBorder="1" applyAlignment="1">
      <alignment horizontal="center" vertical="center" wrapText="1"/>
    </xf>
    <xf numFmtId="0" fontId="8" fillId="0" borderId="0" xfId="4" applyAlignment="1">
      <alignment horizontal="center"/>
    </xf>
    <xf numFmtId="0" fontId="8" fillId="0" borderId="6" xfId="4" applyBorder="1" applyAlignment="1">
      <alignment horizontal="center" vertical="center" wrapText="1"/>
    </xf>
    <xf numFmtId="0" fontId="8" fillId="0" borderId="7" xfId="4" applyBorder="1" applyAlignment="1">
      <alignment horizontal="center" vertical="center" wrapText="1"/>
    </xf>
    <xf numFmtId="0" fontId="8" fillId="0" borderId="4" xfId="4" applyBorder="1" applyAlignment="1">
      <alignment horizontal="center" vertical="center" wrapText="1"/>
    </xf>
    <xf numFmtId="0" fontId="8" fillId="0" borderId="10" xfId="4" applyBorder="1" applyAlignment="1">
      <alignment horizontal="center" vertical="center"/>
    </xf>
  </cellXfs>
  <cellStyles count="5">
    <cellStyle name="Hipervínculo" xfId="3" builtinId="8"/>
    <cellStyle name="Moneda" xfId="1" builtinId="4"/>
    <cellStyle name="Moneda 2" xfId="2" xr:uid="{00000000-0005-0000-0000-000002000000}"/>
    <cellStyle name="Normal" xfId="0" builtinId="0"/>
    <cellStyle name="Normal 2" xfId="4" xr:uid="{00000000-0005-0000-0000-000004000000}"/>
  </cellStyles>
  <dxfs count="408">
    <dxf>
      <numFmt numFmtId="30" formatCode="@"/>
    </dxf>
    <dxf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30" formatCode="@"/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30" formatCode="@"/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30" formatCode="@"/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30" formatCode="@"/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30" formatCode="@"/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30" formatCode="@"/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30" formatCode="@"/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border outline="0">
        <right style="thin">
          <color rgb="FF000000"/>
        </right>
        <bottom style="thin">
          <color rgb="FF000000"/>
        </bottom>
      </border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30" formatCode="@"/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30" formatCode="@"/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30" formatCode="@"/>
      <alignment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0" formatCode="General"/>
      <border diagonalUp="0" diagonalDown="0" outline="0">
        <left/>
        <right/>
        <top/>
        <bottom/>
      </border>
    </dxf>
    <dxf>
      <numFmt numFmtId="30" formatCode="@"/>
      <alignment vertical="center" textRotation="0" wrapText="0" indent="0" justifyLastLine="0" shrinkToFit="0" readingOrder="0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border outline="0">
        <right style="thin">
          <color indexed="64"/>
        </right>
        <bottom style="thin">
          <color indexed="64"/>
        </bottom>
      </border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9" formatCode="m/d/yyyy"/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7" formatCode="yyyy\-mm\-dd;@"/>
      <fill>
        <patternFill patternType="solid">
          <fgColor indexed="64"/>
          <bgColor rgb="FFFFFF00"/>
        </patternFill>
      </fill>
    </dxf>
    <dxf>
      <alignment textRotation="0" wrapText="1" indent="0" justifyLastLine="0" shrinkToFit="0" readingOrder="0"/>
    </dxf>
  </dxfs>
  <tableStyles count="0" defaultTableStyle="TableStyleMedium2" defaultPivotStyle="PivotStyleLight16"/>
  <colors>
    <mruColors>
      <color rgb="FF00A5CC"/>
      <color rgb="FF00BAE6"/>
      <color rgb="FF00CCFF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85725</xdr:rowOff>
    </xdr:from>
    <xdr:to>
      <xdr:col>1</xdr:col>
      <xdr:colOff>1600200</xdr:colOff>
      <xdr:row>0</xdr:row>
      <xdr:rowOff>638175</xdr:rowOff>
    </xdr:to>
    <xdr:pic>
      <xdr:nvPicPr>
        <xdr:cNvPr id="2" name="11 Imag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667" b="14286"/>
        <a:stretch/>
      </xdr:blipFill>
      <xdr:spPr bwMode="auto">
        <a:xfrm>
          <a:off x="0" y="85725"/>
          <a:ext cx="236220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152400</xdr:colOff>
      <xdr:row>0</xdr:row>
      <xdr:rowOff>247650</xdr:rowOff>
    </xdr:from>
    <xdr:to>
      <xdr:col>4</xdr:col>
      <xdr:colOff>419100</xdr:colOff>
      <xdr:row>0</xdr:row>
      <xdr:rowOff>514350</xdr:rowOff>
    </xdr:to>
    <xdr:pic macro="[0]!MENU">
      <xdr:nvPicPr>
        <xdr:cNvPr id="3" name="Imagen 2" descr="Imagen relacionada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8143875" y="24765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238125</xdr:colOff>
      <xdr:row>0</xdr:row>
      <xdr:rowOff>0</xdr:rowOff>
    </xdr:from>
    <xdr:to>
      <xdr:col>3</xdr:col>
      <xdr:colOff>504825</xdr:colOff>
      <xdr:row>1</xdr:row>
      <xdr:rowOff>76200</xdr:rowOff>
    </xdr:to>
    <xdr:pic macro="[0]!MENU">
      <xdr:nvPicPr>
        <xdr:cNvPr id="2" name="Imagen 1" descr="Imagen relacionada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924425" y="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76200</xdr:rowOff>
    </xdr:from>
    <xdr:to>
      <xdr:col>0</xdr:col>
      <xdr:colOff>466725</xdr:colOff>
      <xdr:row>1</xdr:row>
      <xdr:rowOff>76200</xdr:rowOff>
    </xdr:to>
    <xdr:pic macro="[0]!MENU">
      <xdr:nvPicPr>
        <xdr:cNvPr id="2" name="Imagen 1" descr="Imagen relacionada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200025" y="7620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193675</xdr:colOff>
      <xdr:row>0</xdr:row>
      <xdr:rowOff>63501</xdr:rowOff>
    </xdr:from>
    <xdr:ext cx="1425575" cy="603250"/>
    <xdr:pic>
      <xdr:nvPicPr>
        <xdr:cNvPr id="2" name="1 Imagen">
          <a:extLst>
            <a:ext uri="{FF2B5EF4-FFF2-40B4-BE49-F238E27FC236}">
              <a16:creationId xmlns:a16="http://schemas.microsoft.com/office/drawing/2014/main" id="{F0885785-F734-41AC-9D84-18A51830B9C9}"/>
            </a:ext>
          </a:extLst>
        </xdr:cNvPr>
        <xdr:cNvPicPr/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233"/>
        <a:stretch/>
      </xdr:blipFill>
      <xdr:spPr bwMode="auto">
        <a:xfrm>
          <a:off x="193675" y="63501"/>
          <a:ext cx="1425575" cy="60325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447675</xdr:colOff>
      <xdr:row>0</xdr:row>
      <xdr:rowOff>0</xdr:rowOff>
    </xdr:from>
    <xdr:ext cx="1781175" cy="609600"/>
    <xdr:pic>
      <xdr:nvPicPr>
        <xdr:cNvPr id="2" name="1 Imagen">
          <a:extLst>
            <a:ext uri="{FF2B5EF4-FFF2-40B4-BE49-F238E27FC236}">
              <a16:creationId xmlns:a16="http://schemas.microsoft.com/office/drawing/2014/main" id="{587AE8F2-3163-4325-B41C-B8E369412B27}"/>
            </a:ext>
          </a:extLst>
        </xdr:cNvPr>
        <xdr:cNvPicPr/>
      </xdr:nvPicPr>
      <xdr:blipFill rotWithShape="1"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667" r="2233"/>
        <a:stretch/>
      </xdr:blipFill>
      <xdr:spPr bwMode="auto">
        <a:xfrm>
          <a:off x="447675" y="0"/>
          <a:ext cx="1781175" cy="6096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oneCellAnchor>
  <xdr:twoCellAnchor editAs="oneCell">
    <xdr:from>
      <xdr:col>14</xdr:col>
      <xdr:colOff>261938</xdr:colOff>
      <xdr:row>1</xdr:row>
      <xdr:rowOff>11906</xdr:rowOff>
    </xdr:from>
    <xdr:to>
      <xdr:col>14</xdr:col>
      <xdr:colOff>528638</xdr:colOff>
      <xdr:row>2</xdr:row>
      <xdr:rowOff>68497</xdr:rowOff>
    </xdr:to>
    <xdr:pic>
      <xdr:nvPicPr>
        <xdr:cNvPr id="3" name="Imagen 2" descr="Imagen relacionada">
          <a:extLst>
            <a:ext uri="{FF2B5EF4-FFF2-40B4-BE49-F238E27FC236}">
              <a16:creationId xmlns:a16="http://schemas.microsoft.com/office/drawing/2014/main" id="{BD5E3903-AEFF-4FC7-8958-D9182ABEFB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21121688" y="221456"/>
          <a:ext cx="266700" cy="2661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ATIANA%20COMPEXCEL\MACROS\GEOLAB\2023\APLICATIVO%20FACTURACION%2012-05-23\FACTURACION%20OBRA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ATIANA%20COMPEXCEL\MACROS\GEOLAB\2023\APLICATIVO%20FACTURACION%2025-05-23\FACTURACION%20OBRA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Clase%20Graficos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ACROS\LEN\APLICATIVO%20DEVOLUCION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NUEVA EMPRESA"/>
      <sheetName val="NUEVA OBRA"/>
      <sheetName val="DETALLE FACTURA"/>
      <sheetName val="FORMATO INF OBRAS"/>
      <sheetName val="LISTA DE PRECIO"/>
      <sheetName val="INFORMES OBRAS"/>
      <sheetName val="TD"/>
      <sheetName val="INFORMES OBRAS HISTORICO"/>
      <sheetName val="TEMPORAL OBRAS"/>
      <sheetName val="EMPRESAS REGULARES"/>
      <sheetName val="LISTA EMPRESAS REGULARES"/>
      <sheetName val="EMPRESAS VARIOS OBRAS"/>
      <sheetName val="LISTA EMPRESAS VARIOS OBRAS"/>
      <sheetName val="BASE FACTURACION"/>
      <sheetName val="CLIENTES"/>
      <sheetName val="INF FACTURACION"/>
      <sheetName val="PIE DE FACTURA"/>
      <sheetName val="LISTAS"/>
      <sheetName val="TEMPORAL"/>
      <sheetName val="hoja"/>
      <sheetName val="FACTURACION OBRAS"/>
    </sheetNames>
    <sheetDataSet>
      <sheetData sheetId="0"/>
      <sheetData sheetId="1"/>
      <sheetData sheetId="2"/>
      <sheetData sheetId="3"/>
      <sheetData sheetId="4"/>
      <sheetData sheetId="5">
        <row r="3">
          <cell r="A3" t="str">
            <v>ÍTEM</v>
          </cell>
        </row>
        <row r="4">
          <cell r="A4" t="str">
            <v>ÍTEM</v>
          </cell>
        </row>
        <row r="5">
          <cell r="A5" t="str">
            <v>        1</v>
          </cell>
        </row>
        <row r="6">
          <cell r="A6" t="str">
            <v>1-1</v>
          </cell>
        </row>
        <row r="7">
          <cell r="A7" t="str">
            <v>1-1-1</v>
          </cell>
        </row>
        <row r="8">
          <cell r="A8" t="str">
            <v>1-1-2</v>
          </cell>
        </row>
        <row r="9">
          <cell r="A9" t="str">
            <v>1-2</v>
          </cell>
        </row>
        <row r="10">
          <cell r="A10" t="str">
            <v>1-2-1</v>
          </cell>
        </row>
        <row r="11">
          <cell r="A11" t="str">
            <v>1-3</v>
          </cell>
        </row>
        <row r="12">
          <cell r="A12" t="str">
            <v>1-3-1</v>
          </cell>
        </row>
        <row r="13">
          <cell r="A13" t="str">
            <v>1-3-2</v>
          </cell>
        </row>
        <row r="14">
          <cell r="A14" t="str">
            <v>1-3-3</v>
          </cell>
        </row>
        <row r="15">
          <cell r="A15" t="str">
            <v>1-3-4</v>
          </cell>
        </row>
        <row r="16">
          <cell r="A16" t="str">
            <v>1-4</v>
          </cell>
        </row>
        <row r="17">
          <cell r="A17" t="str">
            <v>1-5</v>
          </cell>
        </row>
        <row r="18">
          <cell r="A18" t="str">
            <v>1-6</v>
          </cell>
        </row>
        <row r="19">
          <cell r="A19" t="str">
            <v>1-7</v>
          </cell>
        </row>
        <row r="20">
          <cell r="A20" t="str">
            <v>1-8</v>
          </cell>
        </row>
        <row r="21">
          <cell r="A21" t="str">
            <v>1-9</v>
          </cell>
        </row>
        <row r="22">
          <cell r="A22" t="str">
            <v>1-10</v>
          </cell>
        </row>
        <row r="23">
          <cell r="A23" t="str">
            <v>1-11</v>
          </cell>
        </row>
        <row r="24">
          <cell r="A24" t="str">
            <v>1-12</v>
          </cell>
        </row>
        <row r="25">
          <cell r="A25" t="str">
            <v>1-13</v>
          </cell>
        </row>
        <row r="27">
          <cell r="A27">
            <v>2</v>
          </cell>
        </row>
        <row r="28">
          <cell r="A28" t="str">
            <v>2-1</v>
          </cell>
        </row>
        <row r="29">
          <cell r="A29" t="str">
            <v>2-2</v>
          </cell>
        </row>
        <row r="30">
          <cell r="A30" t="str">
            <v>2-2</v>
          </cell>
        </row>
        <row r="31">
          <cell r="A31" t="str">
            <v>2-3</v>
          </cell>
        </row>
        <row r="32">
          <cell r="A32" t="str">
            <v>2-4</v>
          </cell>
        </row>
        <row r="33">
          <cell r="A33" t="str">
            <v>2-5</v>
          </cell>
        </row>
        <row r="34">
          <cell r="A34" t="str">
            <v>2-5-1</v>
          </cell>
        </row>
        <row r="35">
          <cell r="A35" t="str">
            <v>2-6</v>
          </cell>
        </row>
        <row r="36">
          <cell r="A36" t="str">
            <v>2-7</v>
          </cell>
        </row>
        <row r="37">
          <cell r="A37" t="str">
            <v>2-7</v>
          </cell>
        </row>
        <row r="38">
          <cell r="A38" t="str">
            <v>2-8</v>
          </cell>
        </row>
        <row r="39">
          <cell r="A39" t="str">
            <v>2-9</v>
          </cell>
        </row>
        <row r="40">
          <cell r="A40" t="str">
            <v>2-9-1</v>
          </cell>
        </row>
        <row r="41">
          <cell r="A41" t="str">
            <v>2-10</v>
          </cell>
        </row>
        <row r="42">
          <cell r="A42" t="str">
            <v>2.11</v>
          </cell>
        </row>
        <row r="43">
          <cell r="A43" t="str">
            <v>2-12</v>
          </cell>
        </row>
        <row r="44">
          <cell r="A44" t="str">
            <v>2-13</v>
          </cell>
        </row>
        <row r="45">
          <cell r="A45" t="str">
            <v>2-14</v>
          </cell>
        </row>
        <row r="46">
          <cell r="A46" t="str">
            <v>2-15</v>
          </cell>
        </row>
        <row r="47">
          <cell r="A47" t="str">
            <v>2-16</v>
          </cell>
        </row>
        <row r="48">
          <cell r="A48" t="str">
            <v>2-17</v>
          </cell>
        </row>
        <row r="49">
          <cell r="A49" t="str">
            <v>2-18</v>
          </cell>
        </row>
        <row r="50">
          <cell r="A50" t="str">
            <v>2-19</v>
          </cell>
        </row>
        <row r="51">
          <cell r="A51" t="str">
            <v>2-20</v>
          </cell>
        </row>
        <row r="52">
          <cell r="A52" t="str">
            <v>2-21</v>
          </cell>
        </row>
        <row r="53">
          <cell r="A53" t="str">
            <v>2-22</v>
          </cell>
        </row>
        <row r="54">
          <cell r="A54" t="str">
            <v>2-23</v>
          </cell>
        </row>
        <row r="55">
          <cell r="A55" t="str">
            <v>2-24</v>
          </cell>
        </row>
        <row r="56">
          <cell r="A56" t="str">
            <v>2-25</v>
          </cell>
        </row>
        <row r="57">
          <cell r="A57" t="str">
            <v>2-26</v>
          </cell>
        </row>
        <row r="58">
          <cell r="A58" t="str">
            <v>2-27</v>
          </cell>
        </row>
        <row r="59">
          <cell r="A59" t="str">
            <v>2-28</v>
          </cell>
        </row>
        <row r="60">
          <cell r="A60" t="str">
            <v>2-29</v>
          </cell>
        </row>
        <row r="61">
          <cell r="A61" t="str">
            <v>2-30</v>
          </cell>
        </row>
        <row r="62">
          <cell r="A62" t="str">
            <v>2-31</v>
          </cell>
        </row>
        <row r="63">
          <cell r="A63" t="str">
            <v>2-32</v>
          </cell>
        </row>
        <row r="64">
          <cell r="A64" t="str">
            <v>2-33</v>
          </cell>
        </row>
        <row r="68">
          <cell r="A68">
            <v>3</v>
          </cell>
        </row>
        <row r="69">
          <cell r="A69" t="str">
            <v>3-1</v>
          </cell>
        </row>
        <row r="70">
          <cell r="A70" t="str">
            <v>3-2</v>
          </cell>
        </row>
        <row r="71">
          <cell r="A71" t="str">
            <v>3-3</v>
          </cell>
        </row>
        <row r="72">
          <cell r="A72" t="str">
            <v>3-4</v>
          </cell>
        </row>
        <row r="73">
          <cell r="A73" t="str">
            <v>3-5</v>
          </cell>
        </row>
        <row r="74">
          <cell r="A74" t="str">
            <v>3-6</v>
          </cell>
        </row>
        <row r="75">
          <cell r="A75" t="str">
            <v>3-7</v>
          </cell>
        </row>
        <row r="76">
          <cell r="A76" t="str">
            <v>3-8</v>
          </cell>
        </row>
        <row r="77">
          <cell r="A77" t="str">
            <v>3-9</v>
          </cell>
        </row>
        <row r="78">
          <cell r="A78" t="str">
            <v>3-10</v>
          </cell>
        </row>
        <row r="79">
          <cell r="A79" t="str">
            <v>3-11</v>
          </cell>
        </row>
        <row r="80">
          <cell r="A80" t="str">
            <v>3-12</v>
          </cell>
        </row>
        <row r="81">
          <cell r="A81" t="str">
            <v>3-13</v>
          </cell>
        </row>
        <row r="82">
          <cell r="A82" t="str">
            <v>3-13</v>
          </cell>
        </row>
        <row r="83">
          <cell r="A83" t="str">
            <v>3-14</v>
          </cell>
        </row>
        <row r="84">
          <cell r="A84" t="str">
            <v>3-15</v>
          </cell>
        </row>
        <row r="85">
          <cell r="A85" t="str">
            <v>3-16</v>
          </cell>
        </row>
        <row r="86">
          <cell r="A86" t="str">
            <v>3-17</v>
          </cell>
        </row>
        <row r="91">
          <cell r="A91">
            <v>4</v>
          </cell>
        </row>
        <row r="92">
          <cell r="A92" t="str">
            <v>4-1</v>
          </cell>
        </row>
        <row r="93">
          <cell r="A93" t="str">
            <v>4-2</v>
          </cell>
        </row>
        <row r="94">
          <cell r="A94" t="str">
            <v>4-3</v>
          </cell>
        </row>
        <row r="95">
          <cell r="A95" t="str">
            <v>4-3</v>
          </cell>
        </row>
        <row r="96">
          <cell r="A96" t="str">
            <v>4-4</v>
          </cell>
        </row>
        <row r="97">
          <cell r="A97" t="str">
            <v>4-4</v>
          </cell>
        </row>
        <row r="98">
          <cell r="A98" t="str">
            <v>4-5</v>
          </cell>
        </row>
        <row r="99">
          <cell r="A99" t="str">
            <v>4-7</v>
          </cell>
        </row>
        <row r="100">
          <cell r="A100" t="str">
            <v>4-8</v>
          </cell>
        </row>
        <row r="101">
          <cell r="A101" t="str">
            <v>4-9</v>
          </cell>
        </row>
        <row r="102">
          <cell r="A102" t="str">
            <v>4-10</v>
          </cell>
        </row>
        <row r="103">
          <cell r="A103" t="str">
            <v>4-11</v>
          </cell>
        </row>
        <row r="104">
          <cell r="A104" t="str">
            <v>4-12</v>
          </cell>
        </row>
        <row r="105">
          <cell r="A105" t="str">
            <v>4-13</v>
          </cell>
        </row>
        <row r="106">
          <cell r="A106" t="str">
            <v>4-14</v>
          </cell>
        </row>
        <row r="107">
          <cell r="A107" t="str">
            <v>4-15</v>
          </cell>
        </row>
        <row r="108">
          <cell r="A108" t="str">
            <v>4-16</v>
          </cell>
        </row>
        <row r="109">
          <cell r="A109" t="str">
            <v>4-17</v>
          </cell>
        </row>
        <row r="110">
          <cell r="A110" t="str">
            <v>4-18</v>
          </cell>
        </row>
        <row r="123">
          <cell r="A123">
            <v>5</v>
          </cell>
        </row>
        <row r="124">
          <cell r="A124" t="str">
            <v>5-1</v>
          </cell>
        </row>
        <row r="125">
          <cell r="A125" t="str">
            <v>5-2</v>
          </cell>
        </row>
        <row r="126">
          <cell r="A126" t="str">
            <v>5-3</v>
          </cell>
        </row>
        <row r="127">
          <cell r="A127" t="str">
            <v>5-4</v>
          </cell>
        </row>
        <row r="128">
          <cell r="A128" t="str">
            <v>5-5</v>
          </cell>
        </row>
        <row r="129">
          <cell r="A129" t="str">
            <v>5-6</v>
          </cell>
        </row>
        <row r="130">
          <cell r="A130" t="str">
            <v>5-7</v>
          </cell>
        </row>
        <row r="131">
          <cell r="A131" t="str">
            <v>5-8</v>
          </cell>
        </row>
        <row r="132">
          <cell r="A132" t="str">
            <v>5-9</v>
          </cell>
        </row>
        <row r="133">
          <cell r="A133" t="str">
            <v>5-10</v>
          </cell>
        </row>
        <row r="134">
          <cell r="A134" t="str">
            <v>5-11</v>
          </cell>
        </row>
        <row r="137">
          <cell r="A137">
            <v>6</v>
          </cell>
        </row>
        <row r="138">
          <cell r="A138" t="str">
            <v>6-1</v>
          </cell>
        </row>
        <row r="139">
          <cell r="A139" t="str">
            <v>6-2</v>
          </cell>
        </row>
        <row r="140">
          <cell r="A140" t="str">
            <v>6-3</v>
          </cell>
        </row>
        <row r="142">
          <cell r="A142">
            <v>7</v>
          </cell>
        </row>
        <row r="143">
          <cell r="A143" t="str">
            <v>7-1</v>
          </cell>
        </row>
        <row r="144">
          <cell r="A144" t="str">
            <v>7-2</v>
          </cell>
        </row>
        <row r="145">
          <cell r="A145" t="str">
            <v>7-3</v>
          </cell>
        </row>
        <row r="146">
          <cell r="A146" t="str">
            <v>7-4</v>
          </cell>
        </row>
        <row r="147">
          <cell r="A147" t="str">
            <v>7-5</v>
          </cell>
        </row>
        <row r="148">
          <cell r="A148" t="str">
            <v>7-5-1</v>
          </cell>
        </row>
        <row r="149">
          <cell r="A149" t="str">
            <v>7-5-2</v>
          </cell>
        </row>
        <row r="150">
          <cell r="A150" t="str">
            <v>7-5-3</v>
          </cell>
        </row>
        <row r="151">
          <cell r="A151" t="str">
            <v>7-6</v>
          </cell>
        </row>
        <row r="152">
          <cell r="A152" t="str">
            <v>7-6-1</v>
          </cell>
        </row>
        <row r="153">
          <cell r="A153" t="str">
            <v>7-6-2</v>
          </cell>
        </row>
        <row r="154">
          <cell r="A154" t="str">
            <v>7-6-3</v>
          </cell>
        </row>
        <row r="155">
          <cell r="A155" t="str">
            <v>7-6-4</v>
          </cell>
        </row>
        <row r="156">
          <cell r="A156" t="str">
            <v>7-7</v>
          </cell>
        </row>
        <row r="157">
          <cell r="A157" t="str">
            <v>8A</v>
          </cell>
        </row>
        <row r="158">
          <cell r="A158" t="str">
            <v>8-1A</v>
          </cell>
        </row>
        <row r="159">
          <cell r="A159" t="str">
            <v>8-2A</v>
          </cell>
        </row>
        <row r="160">
          <cell r="A160" t="str">
            <v>8-3A</v>
          </cell>
        </row>
        <row r="161">
          <cell r="A161" t="str">
            <v>8-4A</v>
          </cell>
        </row>
        <row r="162">
          <cell r="A162" t="str">
            <v>8-5A</v>
          </cell>
        </row>
        <row r="163">
          <cell r="A163" t="str">
            <v>8-6A</v>
          </cell>
        </row>
        <row r="164">
          <cell r="A164" t="str">
            <v>8-7A</v>
          </cell>
        </row>
        <row r="165">
          <cell r="A165" t="str">
            <v>8-8A</v>
          </cell>
        </row>
        <row r="166">
          <cell r="A166" t="str">
            <v>8-9A</v>
          </cell>
        </row>
        <row r="167">
          <cell r="A167" t="str">
            <v>8-10A</v>
          </cell>
        </row>
        <row r="168">
          <cell r="A168" t="str">
            <v>8-10B</v>
          </cell>
        </row>
        <row r="169">
          <cell r="A169" t="str">
            <v>8-10C</v>
          </cell>
        </row>
        <row r="170">
          <cell r="A170" t="str">
            <v>8-11A</v>
          </cell>
        </row>
        <row r="171">
          <cell r="A171" t="str">
            <v>8-11B</v>
          </cell>
        </row>
        <row r="172">
          <cell r="A172" t="str">
            <v>8-12B</v>
          </cell>
        </row>
        <row r="173">
          <cell r="A173" t="str">
            <v>8-13B</v>
          </cell>
        </row>
        <row r="174">
          <cell r="A174" t="str">
            <v>8-14B</v>
          </cell>
        </row>
        <row r="175">
          <cell r="A175" t="str">
            <v>8-15B</v>
          </cell>
        </row>
        <row r="176">
          <cell r="A176" t="str">
            <v>8-16B</v>
          </cell>
        </row>
        <row r="177">
          <cell r="A177" t="str">
            <v>8V</v>
          </cell>
        </row>
        <row r="178">
          <cell r="A178" t="str">
            <v>8-1V</v>
          </cell>
        </row>
        <row r="179">
          <cell r="A179" t="str">
            <v>8-2V</v>
          </cell>
        </row>
        <row r="180">
          <cell r="A180" t="str">
            <v>8-3V</v>
          </cell>
        </row>
        <row r="181">
          <cell r="A181" t="str">
            <v>8-4V</v>
          </cell>
        </row>
        <row r="182">
          <cell r="A182" t="str">
            <v>8-10V</v>
          </cell>
        </row>
        <row r="183">
          <cell r="A183" t="str">
            <v>8-11V</v>
          </cell>
        </row>
        <row r="184">
          <cell r="A184" t="str">
            <v>8-12V</v>
          </cell>
        </row>
        <row r="185">
          <cell r="A185" t="str">
            <v>8-13V</v>
          </cell>
        </row>
        <row r="186">
          <cell r="A186" t="str">
            <v>8-14V</v>
          </cell>
        </row>
        <row r="187">
          <cell r="A187" t="str">
            <v>8-15V</v>
          </cell>
        </row>
        <row r="188">
          <cell r="A188" t="str">
            <v>8-16V</v>
          </cell>
        </row>
        <row r="190">
          <cell r="A190">
            <v>9</v>
          </cell>
        </row>
        <row r="191">
          <cell r="A191" t="str">
            <v>9-1</v>
          </cell>
        </row>
        <row r="192">
          <cell r="A192" t="str">
            <v>9-2</v>
          </cell>
        </row>
        <row r="193">
          <cell r="A193" t="str">
            <v>9-3</v>
          </cell>
        </row>
        <row r="194">
          <cell r="A194" t="str">
            <v>9-4</v>
          </cell>
        </row>
        <row r="195">
          <cell r="A195" t="str">
            <v>9-5</v>
          </cell>
        </row>
        <row r="196">
          <cell r="A196" t="str">
            <v>9-6</v>
          </cell>
        </row>
        <row r="197">
          <cell r="A197" t="str">
            <v>9-7</v>
          </cell>
        </row>
        <row r="198">
          <cell r="A198" t="str">
            <v>9-8</v>
          </cell>
        </row>
        <row r="200">
          <cell r="A200">
            <v>10</v>
          </cell>
        </row>
        <row r="201">
          <cell r="A201" t="str">
            <v>10-1</v>
          </cell>
        </row>
        <row r="202">
          <cell r="A202" t="str">
            <v>10-2</v>
          </cell>
        </row>
        <row r="203">
          <cell r="A203" t="str">
            <v>10-3</v>
          </cell>
        </row>
        <row r="204">
          <cell r="A204" t="str">
            <v>10-4</v>
          </cell>
        </row>
        <row r="205">
          <cell r="A205" t="str">
            <v>10-5</v>
          </cell>
        </row>
        <row r="206">
          <cell r="A206" t="str">
            <v>10-6</v>
          </cell>
        </row>
        <row r="207">
          <cell r="A207" t="str">
            <v>10-7</v>
          </cell>
        </row>
        <row r="208">
          <cell r="A208" t="str">
            <v>10-8</v>
          </cell>
        </row>
        <row r="209">
          <cell r="A209" t="str">
            <v>10-9</v>
          </cell>
        </row>
        <row r="210">
          <cell r="A210" t="str">
            <v>10-10</v>
          </cell>
        </row>
        <row r="211">
          <cell r="A211" t="str">
            <v>10-11</v>
          </cell>
        </row>
        <row r="212">
          <cell r="A212" t="str">
            <v>10-12</v>
          </cell>
        </row>
        <row r="214">
          <cell r="A214" t="str">
            <v>11L</v>
          </cell>
        </row>
        <row r="215">
          <cell r="A215" t="str">
            <v>11-1L</v>
          </cell>
        </row>
        <row r="216">
          <cell r="A216" t="str">
            <v>11-2L</v>
          </cell>
        </row>
        <row r="217">
          <cell r="A217" t="str">
            <v>11-3L</v>
          </cell>
        </row>
        <row r="218">
          <cell r="A218" t="str">
            <v>11-4L</v>
          </cell>
        </row>
        <row r="219">
          <cell r="A219" t="str">
            <v>11-5L</v>
          </cell>
        </row>
        <row r="220">
          <cell r="A220" t="str">
            <v>11-6L</v>
          </cell>
        </row>
        <row r="221">
          <cell r="A221" t="str">
            <v>11-7L</v>
          </cell>
        </row>
        <row r="222">
          <cell r="A222" t="str">
            <v>11-8L</v>
          </cell>
        </row>
        <row r="223">
          <cell r="A223" t="str">
            <v>11-9L</v>
          </cell>
        </row>
        <row r="224">
          <cell r="A224" t="str">
            <v>11-10L</v>
          </cell>
        </row>
        <row r="225">
          <cell r="A225" t="str">
            <v>11-10LV</v>
          </cell>
        </row>
        <row r="226">
          <cell r="A226" t="str">
            <v>11,1,1L</v>
          </cell>
        </row>
        <row r="227">
          <cell r="A227" t="str">
            <v>11,1,2L</v>
          </cell>
        </row>
        <row r="228">
          <cell r="A228" t="str">
            <v>11,1,3L</v>
          </cell>
        </row>
        <row r="236">
          <cell r="A236" t="str">
            <v>11A</v>
          </cell>
        </row>
        <row r="237">
          <cell r="A237" t="str">
            <v>11-1A</v>
          </cell>
        </row>
        <row r="238">
          <cell r="A238" t="str">
            <v>11-2A</v>
          </cell>
        </row>
        <row r="239">
          <cell r="A239" t="str">
            <v>11-3A</v>
          </cell>
        </row>
        <row r="240">
          <cell r="A240" t="str">
            <v>11-4A</v>
          </cell>
        </row>
        <row r="241">
          <cell r="A241" t="str">
            <v>11-5A</v>
          </cell>
        </row>
        <row r="242">
          <cell r="A242" t="str">
            <v>11-6A</v>
          </cell>
        </row>
        <row r="243">
          <cell r="A243" t="str">
            <v>11-7A</v>
          </cell>
        </row>
        <row r="244">
          <cell r="A244" t="str">
            <v>11-8A</v>
          </cell>
        </row>
        <row r="245">
          <cell r="A245" t="str">
            <v>11-10A</v>
          </cell>
        </row>
        <row r="246">
          <cell r="A246" t="str">
            <v>11-11A</v>
          </cell>
        </row>
        <row r="248">
          <cell r="A248" t="str">
            <v>11B</v>
          </cell>
        </row>
        <row r="249">
          <cell r="A249" t="str">
            <v>11-1B</v>
          </cell>
        </row>
        <row r="250">
          <cell r="A250" t="str">
            <v>11-2B</v>
          </cell>
        </row>
        <row r="251">
          <cell r="A251" t="str">
            <v>11-3B</v>
          </cell>
        </row>
        <row r="252">
          <cell r="A252" t="str">
            <v>11-4B</v>
          </cell>
        </row>
        <row r="253">
          <cell r="A253" t="str">
            <v>11-5B</v>
          </cell>
        </row>
        <row r="254">
          <cell r="A254" t="str">
            <v>11-6B</v>
          </cell>
        </row>
        <row r="255">
          <cell r="A255" t="str">
            <v>11-7B</v>
          </cell>
        </row>
        <row r="262">
          <cell r="A262">
            <v>12</v>
          </cell>
        </row>
        <row r="263">
          <cell r="A263" t="str">
            <v>12-1</v>
          </cell>
        </row>
        <row r="264">
          <cell r="A264" t="str">
            <v>12-2</v>
          </cell>
        </row>
        <row r="265">
          <cell r="A265" t="str">
            <v>12-3</v>
          </cell>
        </row>
        <row r="266">
          <cell r="A266" t="str">
            <v>12-4</v>
          </cell>
        </row>
        <row r="267">
          <cell r="A267" t="str">
            <v>12-5</v>
          </cell>
        </row>
        <row r="268">
          <cell r="A268" t="str">
            <v>12-6</v>
          </cell>
        </row>
        <row r="269">
          <cell r="A269" t="str">
            <v>12-7</v>
          </cell>
        </row>
        <row r="270">
          <cell r="A270" t="str">
            <v>12-8</v>
          </cell>
        </row>
        <row r="271">
          <cell r="A271" t="str">
            <v>12-9</v>
          </cell>
        </row>
        <row r="272">
          <cell r="A272" t="str">
            <v>12-10</v>
          </cell>
        </row>
        <row r="273">
          <cell r="A273" t="str">
            <v>12-11</v>
          </cell>
        </row>
        <row r="278">
          <cell r="A278">
            <v>13</v>
          </cell>
        </row>
        <row r="279">
          <cell r="A279" t="str">
            <v>13-1</v>
          </cell>
        </row>
        <row r="280">
          <cell r="A280" t="str">
            <v>13-2</v>
          </cell>
        </row>
        <row r="281">
          <cell r="A281" t="str">
            <v>13-3</v>
          </cell>
        </row>
        <row r="282">
          <cell r="A282" t="str">
            <v>13-4</v>
          </cell>
        </row>
        <row r="283">
          <cell r="A283" t="str">
            <v>13-5</v>
          </cell>
        </row>
        <row r="284">
          <cell r="A284" t="str">
            <v>13-6</v>
          </cell>
        </row>
        <row r="285">
          <cell r="A285" t="str">
            <v>13-7</v>
          </cell>
        </row>
        <row r="286">
          <cell r="A286" t="str">
            <v>13-8</v>
          </cell>
        </row>
        <row r="287">
          <cell r="A287" t="str">
            <v>13-9</v>
          </cell>
        </row>
        <row r="294">
          <cell r="A294">
            <v>14</v>
          </cell>
        </row>
        <row r="295">
          <cell r="A295" t="str">
            <v>14-1</v>
          </cell>
        </row>
        <row r="296">
          <cell r="A296" t="str">
            <v>14-2</v>
          </cell>
        </row>
        <row r="297">
          <cell r="A297" t="str">
            <v>14-3</v>
          </cell>
        </row>
        <row r="298">
          <cell r="A298" t="str">
            <v>14-4</v>
          </cell>
        </row>
        <row r="299">
          <cell r="A299" t="str">
            <v>14-5</v>
          </cell>
        </row>
        <row r="300">
          <cell r="A300" t="str">
            <v>14-6</v>
          </cell>
        </row>
        <row r="301">
          <cell r="A301" t="str">
            <v>14-7</v>
          </cell>
        </row>
        <row r="302">
          <cell r="A302" t="str">
            <v>14-8</v>
          </cell>
        </row>
        <row r="303">
          <cell r="A303" t="str">
            <v>14-9</v>
          </cell>
        </row>
        <row r="308">
          <cell r="A308" t="str">
            <v>14-5</v>
          </cell>
        </row>
        <row r="311">
          <cell r="A311">
            <v>15</v>
          </cell>
        </row>
        <row r="312">
          <cell r="A312" t="str">
            <v>15-1</v>
          </cell>
        </row>
        <row r="317">
          <cell r="A317">
            <v>16</v>
          </cell>
        </row>
        <row r="318">
          <cell r="A318" t="str">
            <v>16-1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NUEVA EMPRESA"/>
      <sheetName val="NUEVA OBRA"/>
      <sheetName val="DETALLE FACTURA"/>
      <sheetName val="FORMATO INF OBRAS"/>
      <sheetName val="LISTA DE PRECIO"/>
      <sheetName val="INFORMES OBRAS"/>
      <sheetName val="TD"/>
      <sheetName val="INFORMES OBRAS HISTORICO"/>
      <sheetName val="TEMPORAL OBRAS"/>
      <sheetName val="EMPRESAS REGULARES"/>
      <sheetName val="LISTA EMPRESAS REGULARES"/>
      <sheetName val="EMPRESAS VARIOS OBRAS"/>
      <sheetName val="LISTA EMPRESAS VARIOS OBRAS"/>
      <sheetName val="BASE FACTURACION"/>
      <sheetName val="CLIENTES"/>
      <sheetName val="OBRAS"/>
      <sheetName val="INF FACTURACION"/>
      <sheetName val="PIE DE FACTURA"/>
      <sheetName val="LISTAS"/>
      <sheetName val="TEMPORAL"/>
      <sheetName val="TEMPORAL CLIENTES"/>
      <sheetName val="TEMPORAL OBRAS 2"/>
      <sheetName val="hoja"/>
      <sheetName val="FACTURACION OBRAS"/>
    </sheetNames>
    <sheetDataSet>
      <sheetData sheetId="0"/>
      <sheetData sheetId="1"/>
      <sheetData sheetId="2"/>
      <sheetData sheetId="3"/>
      <sheetData sheetId="4"/>
      <sheetData sheetId="5">
        <row r="3">
          <cell r="A3" t="str">
            <v>ÍTEM</v>
          </cell>
        </row>
        <row r="4">
          <cell r="A4" t="str">
            <v>ÍTEM</v>
          </cell>
        </row>
        <row r="5">
          <cell r="A5" t="str">
            <v>        1</v>
          </cell>
        </row>
        <row r="6">
          <cell r="A6" t="str">
            <v>1-1</v>
          </cell>
        </row>
        <row r="7">
          <cell r="A7" t="str">
            <v>1-1-1</v>
          </cell>
        </row>
        <row r="8">
          <cell r="A8" t="str">
            <v>1-1-2</v>
          </cell>
        </row>
        <row r="9">
          <cell r="A9" t="str">
            <v>1-2</v>
          </cell>
        </row>
        <row r="10">
          <cell r="A10" t="str">
            <v>1-2-1</v>
          </cell>
        </row>
        <row r="11">
          <cell r="A11" t="str">
            <v>1-3</v>
          </cell>
        </row>
        <row r="12">
          <cell r="A12" t="str">
            <v>1-3-1</v>
          </cell>
        </row>
        <row r="13">
          <cell r="A13" t="str">
            <v>1-3-2</v>
          </cell>
        </row>
        <row r="14">
          <cell r="A14" t="str">
            <v>1-3-3</v>
          </cell>
        </row>
        <row r="15">
          <cell r="A15" t="str">
            <v>1-3-4</v>
          </cell>
        </row>
        <row r="16">
          <cell r="A16" t="str">
            <v>1-4</v>
          </cell>
        </row>
        <row r="17">
          <cell r="A17" t="str">
            <v>1-5</v>
          </cell>
        </row>
        <row r="18">
          <cell r="A18" t="str">
            <v>1-6</v>
          </cell>
        </row>
        <row r="19">
          <cell r="A19" t="str">
            <v>1-7</v>
          </cell>
        </row>
        <row r="20">
          <cell r="A20" t="str">
            <v>1-8</v>
          </cell>
        </row>
        <row r="21">
          <cell r="A21" t="str">
            <v>1-9</v>
          </cell>
        </row>
        <row r="22">
          <cell r="A22" t="str">
            <v>1-10</v>
          </cell>
        </row>
        <row r="23">
          <cell r="A23" t="str">
            <v>1-11</v>
          </cell>
        </row>
        <row r="24">
          <cell r="A24" t="str">
            <v>1-12</v>
          </cell>
        </row>
        <row r="25">
          <cell r="A25" t="str">
            <v>1-13</v>
          </cell>
        </row>
        <row r="27">
          <cell r="A27">
            <v>2</v>
          </cell>
        </row>
        <row r="28">
          <cell r="A28" t="str">
            <v>2-1</v>
          </cell>
        </row>
        <row r="29">
          <cell r="A29" t="str">
            <v>2-2</v>
          </cell>
        </row>
        <row r="30">
          <cell r="A30" t="str">
            <v>2-2</v>
          </cell>
        </row>
        <row r="31">
          <cell r="A31" t="str">
            <v>2-3</v>
          </cell>
        </row>
        <row r="32">
          <cell r="A32" t="str">
            <v>2-4</v>
          </cell>
        </row>
        <row r="33">
          <cell r="A33" t="str">
            <v>2-5</v>
          </cell>
        </row>
        <row r="34">
          <cell r="A34" t="str">
            <v>2-5-1</v>
          </cell>
        </row>
        <row r="35">
          <cell r="A35" t="str">
            <v>2-6</v>
          </cell>
        </row>
        <row r="36">
          <cell r="A36" t="str">
            <v>2-7</v>
          </cell>
        </row>
        <row r="37">
          <cell r="A37" t="str">
            <v>2-7</v>
          </cell>
        </row>
        <row r="38">
          <cell r="A38" t="str">
            <v>2-8</v>
          </cell>
        </row>
        <row r="39">
          <cell r="A39" t="str">
            <v>2-9</v>
          </cell>
        </row>
        <row r="40">
          <cell r="A40" t="str">
            <v>2-9-1</v>
          </cell>
        </row>
        <row r="41">
          <cell r="A41" t="str">
            <v>2-10</v>
          </cell>
        </row>
        <row r="42">
          <cell r="A42" t="str">
            <v>2.11</v>
          </cell>
        </row>
        <row r="43">
          <cell r="A43" t="str">
            <v>2-12</v>
          </cell>
        </row>
        <row r="44">
          <cell r="A44" t="str">
            <v>2-13</v>
          </cell>
        </row>
        <row r="45">
          <cell r="A45" t="str">
            <v>2-14</v>
          </cell>
        </row>
        <row r="46">
          <cell r="A46" t="str">
            <v>2-15</v>
          </cell>
        </row>
        <row r="47">
          <cell r="A47" t="str">
            <v>2-16</v>
          </cell>
        </row>
        <row r="48">
          <cell r="A48" t="str">
            <v>2-17</v>
          </cell>
        </row>
        <row r="49">
          <cell r="A49" t="str">
            <v>2-18</v>
          </cell>
        </row>
        <row r="50">
          <cell r="A50" t="str">
            <v>2-19</v>
          </cell>
        </row>
        <row r="51">
          <cell r="A51" t="str">
            <v>2-20</v>
          </cell>
        </row>
        <row r="52">
          <cell r="A52" t="str">
            <v>2-21</v>
          </cell>
        </row>
        <row r="53">
          <cell r="A53" t="str">
            <v>2-22</v>
          </cell>
        </row>
        <row r="54">
          <cell r="A54" t="str">
            <v>2-23</v>
          </cell>
        </row>
        <row r="55">
          <cell r="A55" t="str">
            <v>2-24</v>
          </cell>
        </row>
        <row r="56">
          <cell r="A56" t="str">
            <v>2-25</v>
          </cell>
        </row>
        <row r="57">
          <cell r="A57" t="str">
            <v>2-26</v>
          </cell>
        </row>
        <row r="58">
          <cell r="A58" t="str">
            <v>2-27</v>
          </cell>
        </row>
        <row r="59">
          <cell r="A59" t="str">
            <v>2-28</v>
          </cell>
        </row>
        <row r="60">
          <cell r="A60" t="str">
            <v>2-29</v>
          </cell>
        </row>
        <row r="61">
          <cell r="A61" t="str">
            <v>2-30</v>
          </cell>
        </row>
        <row r="63">
          <cell r="A63" t="str">
            <v>2-32</v>
          </cell>
        </row>
        <row r="64">
          <cell r="A64" t="str">
            <v>2-33</v>
          </cell>
        </row>
        <row r="68">
          <cell r="A68">
            <v>3</v>
          </cell>
        </row>
        <row r="69">
          <cell r="A69" t="str">
            <v>3-1</v>
          </cell>
        </row>
        <row r="70">
          <cell r="A70" t="str">
            <v>3-2</v>
          </cell>
        </row>
        <row r="71">
          <cell r="A71" t="str">
            <v>3-3</v>
          </cell>
        </row>
        <row r="72">
          <cell r="A72" t="str">
            <v>3-4</v>
          </cell>
        </row>
        <row r="73">
          <cell r="A73" t="str">
            <v>3-5</v>
          </cell>
        </row>
        <row r="74">
          <cell r="A74" t="str">
            <v>3-6</v>
          </cell>
        </row>
        <row r="75">
          <cell r="A75" t="str">
            <v>3-7</v>
          </cell>
        </row>
        <row r="76">
          <cell r="A76" t="str">
            <v>3-8</v>
          </cell>
        </row>
        <row r="77">
          <cell r="A77" t="str">
            <v>3-9</v>
          </cell>
        </row>
        <row r="78">
          <cell r="A78" t="str">
            <v>3-10</v>
          </cell>
        </row>
        <row r="79">
          <cell r="A79" t="str">
            <v>3-11</v>
          </cell>
        </row>
        <row r="80">
          <cell r="A80" t="str">
            <v>3-12</v>
          </cell>
        </row>
        <row r="81">
          <cell r="A81" t="str">
            <v>3-13</v>
          </cell>
        </row>
        <row r="82">
          <cell r="A82" t="str">
            <v>3-13</v>
          </cell>
        </row>
        <row r="83">
          <cell r="A83" t="str">
            <v>3-14</v>
          </cell>
        </row>
        <row r="84">
          <cell r="A84" t="str">
            <v>3-15</v>
          </cell>
        </row>
        <row r="85">
          <cell r="A85" t="str">
            <v>3-16</v>
          </cell>
        </row>
        <row r="86">
          <cell r="A86" t="str">
            <v>3-17</v>
          </cell>
        </row>
        <row r="91">
          <cell r="A91">
            <v>4</v>
          </cell>
        </row>
        <row r="92">
          <cell r="A92" t="str">
            <v>4-1</v>
          </cell>
        </row>
        <row r="93">
          <cell r="A93" t="str">
            <v>4-2</v>
          </cell>
        </row>
        <row r="94">
          <cell r="A94" t="str">
            <v>4-3</v>
          </cell>
        </row>
        <row r="95">
          <cell r="A95" t="str">
            <v>4-3</v>
          </cell>
        </row>
        <row r="96">
          <cell r="A96" t="str">
            <v>4-4</v>
          </cell>
        </row>
        <row r="97">
          <cell r="A97" t="str">
            <v>4-4</v>
          </cell>
        </row>
        <row r="98">
          <cell r="A98" t="str">
            <v>4-5</v>
          </cell>
        </row>
        <row r="99">
          <cell r="A99" t="str">
            <v>4-7</v>
          </cell>
        </row>
        <row r="100">
          <cell r="A100" t="str">
            <v>4-8</v>
          </cell>
        </row>
        <row r="101">
          <cell r="A101" t="str">
            <v>4-9</v>
          </cell>
        </row>
        <row r="102">
          <cell r="A102" t="str">
            <v>4-10</v>
          </cell>
        </row>
        <row r="103">
          <cell r="A103" t="str">
            <v>4-11</v>
          </cell>
        </row>
        <row r="104">
          <cell r="A104" t="str">
            <v>4-12</v>
          </cell>
        </row>
        <row r="105">
          <cell r="A105" t="str">
            <v>4-13</v>
          </cell>
        </row>
        <row r="106">
          <cell r="A106" t="str">
            <v>4-14</v>
          </cell>
        </row>
        <row r="107">
          <cell r="A107" t="str">
            <v>4-15</v>
          </cell>
        </row>
        <row r="108">
          <cell r="A108" t="str">
            <v>4-16</v>
          </cell>
        </row>
        <row r="109">
          <cell r="A109" t="str">
            <v>4-17</v>
          </cell>
        </row>
        <row r="110">
          <cell r="A110" t="str">
            <v>4-18</v>
          </cell>
        </row>
        <row r="123">
          <cell r="A123">
            <v>5</v>
          </cell>
        </row>
        <row r="124">
          <cell r="A124" t="str">
            <v>5-1</v>
          </cell>
        </row>
        <row r="125">
          <cell r="A125" t="str">
            <v>5-2</v>
          </cell>
        </row>
        <row r="126">
          <cell r="A126" t="str">
            <v>5-3</v>
          </cell>
        </row>
        <row r="127">
          <cell r="A127" t="str">
            <v>5-4</v>
          </cell>
        </row>
        <row r="128">
          <cell r="A128" t="str">
            <v>5-5</v>
          </cell>
        </row>
        <row r="129">
          <cell r="A129" t="str">
            <v>5-6</v>
          </cell>
        </row>
        <row r="130">
          <cell r="A130" t="str">
            <v>5-7</v>
          </cell>
        </row>
        <row r="131">
          <cell r="A131" t="str">
            <v>5-8</v>
          </cell>
        </row>
        <row r="132">
          <cell r="A132" t="str">
            <v>5-9</v>
          </cell>
        </row>
        <row r="133">
          <cell r="A133" t="str">
            <v>5-10</v>
          </cell>
        </row>
        <row r="134">
          <cell r="A134" t="str">
            <v>5-11</v>
          </cell>
        </row>
        <row r="137">
          <cell r="A137">
            <v>6</v>
          </cell>
        </row>
        <row r="138">
          <cell r="A138" t="str">
            <v>6-1</v>
          </cell>
        </row>
        <row r="139">
          <cell r="A139" t="str">
            <v>6-2</v>
          </cell>
        </row>
        <row r="140">
          <cell r="A140" t="str">
            <v>6-3</v>
          </cell>
        </row>
        <row r="142">
          <cell r="A142">
            <v>7</v>
          </cell>
        </row>
        <row r="143">
          <cell r="A143" t="str">
            <v>7-1</v>
          </cell>
        </row>
        <row r="144">
          <cell r="A144" t="str">
            <v>7-2</v>
          </cell>
        </row>
        <row r="145">
          <cell r="A145" t="str">
            <v>7-3</v>
          </cell>
        </row>
        <row r="146">
          <cell r="A146" t="str">
            <v>7-4</v>
          </cell>
        </row>
        <row r="147">
          <cell r="A147" t="str">
            <v>7-5</v>
          </cell>
        </row>
        <row r="148">
          <cell r="A148" t="str">
            <v>7-5-1</v>
          </cell>
        </row>
        <row r="149">
          <cell r="A149" t="str">
            <v>7-5-2</v>
          </cell>
        </row>
        <row r="150">
          <cell r="A150" t="str">
            <v>7-5-3</v>
          </cell>
        </row>
        <row r="151">
          <cell r="A151" t="str">
            <v>7-6</v>
          </cell>
        </row>
        <row r="152">
          <cell r="A152" t="str">
            <v>7-6-1</v>
          </cell>
        </row>
        <row r="153">
          <cell r="A153" t="str">
            <v>7-6-2</v>
          </cell>
        </row>
        <row r="154">
          <cell r="A154" t="str">
            <v>7-6-3</v>
          </cell>
        </row>
        <row r="155">
          <cell r="A155" t="str">
            <v>7-6-4</v>
          </cell>
        </row>
        <row r="156">
          <cell r="A156" t="str">
            <v>7-7</v>
          </cell>
        </row>
        <row r="157">
          <cell r="A157" t="str">
            <v>8A</v>
          </cell>
        </row>
        <row r="158">
          <cell r="A158" t="str">
            <v>8-1A</v>
          </cell>
        </row>
        <row r="159">
          <cell r="A159" t="str">
            <v>8-2A</v>
          </cell>
        </row>
        <row r="160">
          <cell r="A160" t="str">
            <v>8-3A</v>
          </cell>
        </row>
        <row r="161">
          <cell r="A161" t="str">
            <v>8-4A</v>
          </cell>
        </row>
        <row r="162">
          <cell r="A162" t="str">
            <v>8-5A</v>
          </cell>
        </row>
        <row r="163">
          <cell r="A163" t="str">
            <v>8-6A</v>
          </cell>
        </row>
        <row r="164">
          <cell r="A164" t="str">
            <v>8-7A</v>
          </cell>
        </row>
        <row r="165">
          <cell r="A165" t="str">
            <v>8-8A</v>
          </cell>
        </row>
        <row r="166">
          <cell r="A166" t="str">
            <v>8-9A</v>
          </cell>
        </row>
        <row r="167">
          <cell r="A167" t="str">
            <v>8-10A</v>
          </cell>
        </row>
        <row r="168">
          <cell r="A168" t="str">
            <v>8-10B</v>
          </cell>
        </row>
        <row r="169">
          <cell r="A169" t="str">
            <v>8-10C</v>
          </cell>
        </row>
        <row r="170">
          <cell r="A170" t="str">
            <v>8-11A</v>
          </cell>
        </row>
        <row r="171">
          <cell r="A171" t="str">
            <v>8-11B</v>
          </cell>
        </row>
        <row r="172">
          <cell r="A172" t="str">
            <v>8-12B</v>
          </cell>
        </row>
        <row r="173">
          <cell r="A173" t="str">
            <v>8-13B</v>
          </cell>
        </row>
        <row r="174">
          <cell r="A174" t="str">
            <v>8-14B</v>
          </cell>
        </row>
        <row r="175">
          <cell r="A175" t="str">
            <v>8-15B</v>
          </cell>
        </row>
        <row r="176">
          <cell r="A176" t="str">
            <v>8-16B</v>
          </cell>
        </row>
        <row r="177">
          <cell r="A177" t="str">
            <v>8V</v>
          </cell>
        </row>
        <row r="178">
          <cell r="A178" t="str">
            <v>8-1V</v>
          </cell>
        </row>
        <row r="179">
          <cell r="A179" t="str">
            <v>8-2V</v>
          </cell>
        </row>
        <row r="180">
          <cell r="A180" t="str">
            <v>8-3V</v>
          </cell>
        </row>
        <row r="181">
          <cell r="A181" t="str">
            <v>8-4V</v>
          </cell>
        </row>
        <row r="182">
          <cell r="A182" t="str">
            <v>8-10V</v>
          </cell>
        </row>
        <row r="183">
          <cell r="A183" t="str">
            <v>8-11V</v>
          </cell>
        </row>
        <row r="184">
          <cell r="A184" t="str">
            <v>8-12V</v>
          </cell>
        </row>
        <row r="185">
          <cell r="A185" t="str">
            <v>8-13V</v>
          </cell>
        </row>
        <row r="186">
          <cell r="A186" t="str">
            <v>8-14V</v>
          </cell>
        </row>
        <row r="187">
          <cell r="A187" t="str">
            <v>8-15V</v>
          </cell>
        </row>
        <row r="188">
          <cell r="A188" t="str">
            <v>8-16V</v>
          </cell>
        </row>
        <row r="190">
          <cell r="A190">
            <v>9</v>
          </cell>
        </row>
        <row r="191">
          <cell r="A191" t="str">
            <v>9-1</v>
          </cell>
        </row>
        <row r="192">
          <cell r="A192" t="str">
            <v>9-2</v>
          </cell>
        </row>
        <row r="193">
          <cell r="A193" t="str">
            <v>9-3</v>
          </cell>
        </row>
        <row r="194">
          <cell r="A194" t="str">
            <v>9-4</v>
          </cell>
        </row>
        <row r="195">
          <cell r="A195" t="str">
            <v>9-5</v>
          </cell>
        </row>
        <row r="196">
          <cell r="A196" t="str">
            <v>9-6</v>
          </cell>
        </row>
        <row r="197">
          <cell r="A197" t="str">
            <v>9-7</v>
          </cell>
        </row>
        <row r="198">
          <cell r="A198" t="str">
            <v>9-8</v>
          </cell>
        </row>
        <row r="200">
          <cell r="A200">
            <v>10</v>
          </cell>
        </row>
        <row r="201">
          <cell r="A201" t="str">
            <v>10-1</v>
          </cell>
        </row>
        <row r="202">
          <cell r="A202" t="str">
            <v>10-2</v>
          </cell>
        </row>
        <row r="203">
          <cell r="A203" t="str">
            <v>10-3</v>
          </cell>
        </row>
        <row r="204">
          <cell r="A204" t="str">
            <v>10-4</v>
          </cell>
        </row>
        <row r="205">
          <cell r="A205" t="str">
            <v>10-5</v>
          </cell>
        </row>
        <row r="206">
          <cell r="A206" t="str">
            <v>10-6</v>
          </cell>
        </row>
        <row r="207">
          <cell r="A207" t="str">
            <v>10-7</v>
          </cell>
        </row>
        <row r="208">
          <cell r="A208" t="str">
            <v>10-8</v>
          </cell>
        </row>
        <row r="209">
          <cell r="A209" t="str">
            <v>10-9</v>
          </cell>
        </row>
        <row r="210">
          <cell r="A210" t="str">
            <v>10-10</v>
          </cell>
        </row>
        <row r="211">
          <cell r="A211" t="str">
            <v>10-11</v>
          </cell>
        </row>
        <row r="212">
          <cell r="A212" t="str">
            <v>10-12</v>
          </cell>
        </row>
        <row r="214">
          <cell r="A214" t="str">
            <v>11L</v>
          </cell>
        </row>
        <row r="215">
          <cell r="A215" t="str">
            <v>11-1L</v>
          </cell>
        </row>
        <row r="216">
          <cell r="A216" t="str">
            <v>11-2L</v>
          </cell>
        </row>
        <row r="217">
          <cell r="A217" t="str">
            <v>11-3L</v>
          </cell>
        </row>
        <row r="218">
          <cell r="A218" t="str">
            <v>11-4L</v>
          </cell>
        </row>
        <row r="219">
          <cell r="A219" t="str">
            <v>11-5L</v>
          </cell>
        </row>
        <row r="220">
          <cell r="A220" t="str">
            <v>11-6L</v>
          </cell>
        </row>
        <row r="221">
          <cell r="A221" t="str">
            <v>11-7L</v>
          </cell>
        </row>
        <row r="222">
          <cell r="A222" t="str">
            <v>11-8L</v>
          </cell>
        </row>
        <row r="223">
          <cell r="A223" t="str">
            <v>11-9L</v>
          </cell>
        </row>
        <row r="224">
          <cell r="A224" t="str">
            <v>11-10L</v>
          </cell>
        </row>
        <row r="225">
          <cell r="A225" t="str">
            <v>11-10LV</v>
          </cell>
        </row>
        <row r="226">
          <cell r="A226" t="str">
            <v>11,1,1L</v>
          </cell>
        </row>
        <row r="227">
          <cell r="A227" t="str">
            <v>11,1,2L</v>
          </cell>
        </row>
        <row r="228">
          <cell r="A228" t="str">
            <v>11,1,3L</v>
          </cell>
        </row>
        <row r="236">
          <cell r="A236" t="str">
            <v>11A</v>
          </cell>
        </row>
        <row r="237">
          <cell r="A237" t="str">
            <v>11-1A</v>
          </cell>
        </row>
        <row r="238">
          <cell r="A238" t="str">
            <v>11-2A</v>
          </cell>
        </row>
        <row r="239">
          <cell r="A239" t="str">
            <v>11-3A</v>
          </cell>
        </row>
        <row r="240">
          <cell r="A240" t="str">
            <v>11-4A</v>
          </cell>
        </row>
        <row r="241">
          <cell r="A241" t="str">
            <v>11-5A</v>
          </cell>
        </row>
        <row r="242">
          <cell r="A242" t="str">
            <v>11-6A</v>
          </cell>
        </row>
        <row r="243">
          <cell r="A243" t="str">
            <v>11-7A</v>
          </cell>
        </row>
        <row r="244">
          <cell r="A244" t="str">
            <v>11-8A</v>
          </cell>
        </row>
        <row r="245">
          <cell r="A245" t="str">
            <v>11-10A</v>
          </cell>
        </row>
        <row r="246">
          <cell r="A246" t="str">
            <v>11-11A</v>
          </cell>
        </row>
        <row r="249">
          <cell r="A249" t="str">
            <v>11B</v>
          </cell>
        </row>
        <row r="250">
          <cell r="A250" t="str">
            <v>11-1B</v>
          </cell>
        </row>
        <row r="251">
          <cell r="A251" t="str">
            <v>11-2B</v>
          </cell>
        </row>
        <row r="252">
          <cell r="A252" t="str">
            <v>11-3B</v>
          </cell>
        </row>
        <row r="253">
          <cell r="A253" t="str">
            <v>11-4B</v>
          </cell>
        </row>
        <row r="254">
          <cell r="A254" t="str">
            <v>11-5B</v>
          </cell>
        </row>
        <row r="255">
          <cell r="A255" t="str">
            <v>11-6B</v>
          </cell>
        </row>
        <row r="256">
          <cell r="A256" t="str">
            <v>11-7B</v>
          </cell>
        </row>
        <row r="263">
          <cell r="A263">
            <v>12</v>
          </cell>
        </row>
        <row r="264">
          <cell r="A264" t="str">
            <v>12-1</v>
          </cell>
        </row>
        <row r="265">
          <cell r="A265" t="str">
            <v>12-2</v>
          </cell>
        </row>
        <row r="266">
          <cell r="A266" t="str">
            <v>12-3</v>
          </cell>
        </row>
        <row r="267">
          <cell r="A267" t="str">
            <v>12-4</v>
          </cell>
        </row>
        <row r="268">
          <cell r="A268" t="str">
            <v>12-5</v>
          </cell>
        </row>
        <row r="269">
          <cell r="A269" t="str">
            <v>12-6</v>
          </cell>
        </row>
        <row r="270">
          <cell r="A270" t="str">
            <v>12-7</v>
          </cell>
        </row>
        <row r="271">
          <cell r="A271" t="str">
            <v>12-8</v>
          </cell>
        </row>
        <row r="272">
          <cell r="A272" t="str">
            <v>12-9</v>
          </cell>
        </row>
        <row r="273">
          <cell r="A273" t="str">
            <v>12-10</v>
          </cell>
        </row>
        <row r="274">
          <cell r="A274" t="str">
            <v>12-11</v>
          </cell>
        </row>
        <row r="279">
          <cell r="A279">
            <v>13</v>
          </cell>
        </row>
        <row r="280">
          <cell r="A280" t="str">
            <v>13-1</v>
          </cell>
        </row>
        <row r="281">
          <cell r="A281" t="str">
            <v>13-2</v>
          </cell>
        </row>
        <row r="282">
          <cell r="A282" t="str">
            <v>13-3</v>
          </cell>
        </row>
        <row r="283">
          <cell r="A283" t="str">
            <v>13-4</v>
          </cell>
        </row>
        <row r="284">
          <cell r="A284" t="str">
            <v>13-5</v>
          </cell>
        </row>
        <row r="285">
          <cell r="A285" t="str">
            <v>13-6</v>
          </cell>
        </row>
        <row r="286">
          <cell r="A286" t="str">
            <v>13-7</v>
          </cell>
        </row>
        <row r="287">
          <cell r="A287" t="str">
            <v>13-8</v>
          </cell>
        </row>
        <row r="288">
          <cell r="A288" t="str">
            <v>13-9</v>
          </cell>
        </row>
        <row r="295">
          <cell r="A295">
            <v>14</v>
          </cell>
        </row>
        <row r="296">
          <cell r="A296" t="str">
            <v>14-1</v>
          </cell>
        </row>
        <row r="297">
          <cell r="A297" t="str">
            <v>14-2</v>
          </cell>
        </row>
        <row r="298">
          <cell r="A298" t="str">
            <v>14-3</v>
          </cell>
        </row>
        <row r="299">
          <cell r="A299" t="str">
            <v>14-4</v>
          </cell>
        </row>
        <row r="300">
          <cell r="A300" t="str">
            <v>14-5</v>
          </cell>
        </row>
        <row r="301">
          <cell r="A301" t="str">
            <v>14-6</v>
          </cell>
        </row>
        <row r="302">
          <cell r="A302" t="str">
            <v>14-7</v>
          </cell>
        </row>
        <row r="303">
          <cell r="A303" t="str">
            <v>14-8</v>
          </cell>
        </row>
        <row r="304">
          <cell r="A304" t="str">
            <v>14-9</v>
          </cell>
        </row>
        <row r="309">
          <cell r="A309" t="str">
            <v>14-5</v>
          </cell>
        </row>
        <row r="312">
          <cell r="A312">
            <v>15</v>
          </cell>
        </row>
        <row r="313">
          <cell r="A313" t="str">
            <v>15-1</v>
          </cell>
        </row>
        <row r="318">
          <cell r="A318">
            <v>16</v>
          </cell>
        </row>
        <row r="319">
          <cell r="A319" t="str">
            <v>16-1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4">
          <cell r="A4" t="str">
            <v>ENERO</v>
          </cell>
        </row>
        <row r="5">
          <cell r="A5" t="str">
            <v>FEBRERO</v>
          </cell>
        </row>
        <row r="6">
          <cell r="A6" t="str">
            <v>MARZO</v>
          </cell>
        </row>
        <row r="7">
          <cell r="A7" t="str">
            <v>ABRIL</v>
          </cell>
        </row>
        <row r="8">
          <cell r="A8" t="str">
            <v>MAYO</v>
          </cell>
        </row>
        <row r="9">
          <cell r="A9" t="str">
            <v>JUNIO</v>
          </cell>
        </row>
        <row r="10">
          <cell r="A10" t="str">
            <v>JULIO</v>
          </cell>
        </row>
        <row r="11">
          <cell r="A11" t="str">
            <v>AGOSTO</v>
          </cell>
        </row>
        <row r="12">
          <cell r="A12" t="str">
            <v>SEPTIEMBRE</v>
          </cell>
        </row>
        <row r="13">
          <cell r="A13" t="str">
            <v>OCTUBRE</v>
          </cell>
        </row>
        <row r="14">
          <cell r="A14" t="str">
            <v>NOVIEMBRE</v>
          </cell>
        </row>
        <row r="15">
          <cell r="A15" t="str">
            <v>DICIEMBRE</v>
          </cell>
        </row>
      </sheetData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1"/>
      <sheetName val="2"/>
      <sheetName val="3"/>
      <sheetName val="4"/>
      <sheetName val="5"/>
      <sheetName val="6"/>
      <sheetName val="7"/>
      <sheetName val="8"/>
      <sheetName val="LISTA DE PRECIO"/>
    </sheetNames>
    <sheetDataSet>
      <sheetData sheetId="0"/>
      <sheetData sheetId="1"/>
      <sheetData sheetId="2"/>
      <sheetData sheetId="3"/>
      <sheetData sheetId="4">
        <row r="6">
          <cell r="C6">
            <v>21631</v>
          </cell>
          <cell r="D6">
            <v>14637</v>
          </cell>
        </row>
        <row r="7">
          <cell r="D7">
            <v>14103</v>
          </cell>
        </row>
        <row r="8">
          <cell r="D8">
            <v>43737</v>
          </cell>
        </row>
        <row r="9">
          <cell r="D9">
            <v>40131</v>
          </cell>
        </row>
        <row r="10">
          <cell r="D10">
            <v>18072</v>
          </cell>
        </row>
        <row r="11">
          <cell r="D11">
            <v>69756</v>
          </cell>
        </row>
        <row r="12">
          <cell r="D12">
            <v>73442</v>
          </cell>
        </row>
        <row r="23">
          <cell r="H23" t="b">
            <v>1</v>
          </cell>
        </row>
      </sheetData>
      <sheetData sheetId="5">
        <row r="5">
          <cell r="B5" t="str">
            <v>Fecha</v>
          </cell>
        </row>
      </sheetData>
      <sheetData sheetId="6">
        <row r="1">
          <cell r="A1" t="str">
            <v>isabel</v>
          </cell>
        </row>
      </sheetData>
      <sheetData sheetId="7"/>
      <sheetData sheetId="8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CARTA TRANS"/>
      <sheetName val="FORMATO RECOGIDA"/>
      <sheetName val="BD ORDEN RECOGIDA"/>
      <sheetName val="DETALLE ENTRADA"/>
      <sheetName val="FORMATO DEVOLUCION"/>
      <sheetName val="DETALLE DEVOLUCION"/>
      <sheetName val="CLIENTES"/>
      <sheetName val="PRODUCTOS"/>
      <sheetName val="LISTA PRECIOS"/>
      <sheetName val="TRANSPORTADORAS"/>
      <sheetName val="Variables Detalle Dvlon"/>
      <sheetName val="LISTAS"/>
      <sheetName val="APLICATIVO DEVOLUCION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 t="str">
            <v>ABONO_A_LA_CUENTA</v>
          </cell>
        </row>
      </sheetData>
      <sheetData sheetId="12">
        <row r="1">
          <cell r="A1" t="str">
            <v>TRASPORTADORAS</v>
          </cell>
          <cell r="E1" t="str">
            <v>RESPONSABLES</v>
          </cell>
        </row>
        <row r="2">
          <cell r="E2" t="str">
            <v>Angie Rueda</v>
          </cell>
        </row>
        <row r="3">
          <cell r="E3" t="str">
            <v>Andrea V.</v>
          </cell>
        </row>
        <row r="4">
          <cell r="E4" t="str">
            <v>Anyela Argüello</v>
          </cell>
        </row>
        <row r="5">
          <cell r="E5" t="str">
            <v>Edwin Rojas</v>
          </cell>
        </row>
      </sheetData>
      <sheetData sheetId="1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L1336" totalsRowShown="0" headerRowDxfId="407">
  <autoFilter ref="A1:L1336" xr:uid="{00000000-0009-0000-0100-000001000000}">
    <filterColumn colId="0">
      <filters>
        <dateGroupItem year="2025" dateTimeGrouping="year"/>
        <dateGroupItem year="2024" dateTimeGrouping="year"/>
      </filters>
    </filterColumn>
    <filterColumn colId="1">
      <filters>
        <filter val="8-1"/>
      </filters>
    </filterColumn>
  </autoFilter>
  <sortState ref="A1107:L1112">
    <sortCondition ref="E1:E1122"/>
  </sortState>
  <tableColumns count="12">
    <tableColumn id="1" xr3:uid="{00000000-0010-0000-0000-000001000000}" name="FECHA INF" dataDxfId="406"/>
    <tableColumn id="2" xr3:uid="{00000000-0010-0000-0000-000002000000}" name="OBRA" dataDxfId="405"/>
    <tableColumn id="3" xr3:uid="{00000000-0010-0000-0000-000003000000}" name="No. INFORME" dataDxfId="404"/>
    <tableColumn id="4" xr3:uid="{00000000-0010-0000-0000-000004000000}" name="CANTIDAD ENSAYOS" dataDxfId="403"/>
    <tableColumn id="5" xr3:uid="{00000000-0010-0000-0000-000005000000}" name="CODIGO ENSAYO" dataDxfId="402"/>
    <tableColumn id="6" xr3:uid="{00000000-0010-0000-0000-000006000000}" name="NOMBRE DEL ENSAYO" dataDxfId="401"/>
    <tableColumn id="8" xr3:uid="{00000000-0010-0000-0000-000008000000}" name="No. DE REMISION" dataDxfId="400"/>
    <tableColumn id="9" xr3:uid="{00000000-0010-0000-0000-000009000000}" name="TRANSPORTE FECHA" dataDxfId="399"/>
    <tableColumn id="10" xr3:uid="{00000000-0010-0000-0000-00000A000000}" name="OBSERVACIONES" dataDxfId="398"/>
    <tableColumn id="11" xr3:uid="{00000000-0010-0000-0000-00000B000000}" name="CONCATENAR" dataDxfId="397">
      <calculatedColumnFormula>CONCATENATE(Tabla1[[#This Row],[OBRA]],"/",Tabla1[[#This Row],[CODIGO ENSAYO]])</calculatedColumnFormula>
    </tableColumn>
    <tableColumn id="7" xr3:uid="{00000000-0010-0000-0000-000007000000}" name="MES" dataDxfId="396">
      <calculatedColumnFormula>UPPER(TEXT(Tabla1[[#This Row],[FECHA INF]],"MMMM"))</calculatedColumnFormula>
    </tableColumn>
    <tableColumn id="12" xr3:uid="{00000000-0010-0000-0000-00000C000000}" name="Columna1" dataDxfId="395">
      <calculatedColumnFormula>IF(IFERROR(Tabla1[[#This Row],[No. INFORME]]/Tabla1[[#This Row],[No. INFORME]],0)=1,DAY(Tabla1[[#This Row],[No. INFORME]])&amp;"/"&amp;MONTH(Tabla1[[#This Row],[No. INFORME]])&amp;"/"&amp;YEAR(Tabla1[[#This Row],[No. INFORME]]),Tabla1[[#This Row],[No. INFORME]])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1000000}" name="Tabla1111" displayName="Tabla1111" ref="A1:B58" totalsRowShown="0">
  <autoFilter ref="A1:B58" xr:uid="{00000000-0009-0000-0100-000018000000}"/>
  <tableColumns count="2">
    <tableColumn id="1" xr3:uid="{00000000-0010-0000-0100-000001000000}" name="CODIGO" dataDxfId="394"/>
    <tableColumn id="2" xr3:uid="{00000000-0010-0000-0100-000002000000}" name="EMPRES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02000000}" name="Tabla3" displayName="Tabla3" ref="B1:C14" totalsRowShown="0" dataDxfId="393">
  <autoFilter ref="B1:C14" xr:uid="{00000000-0009-0000-0100-000017000000}"/>
  <tableColumns count="2">
    <tableColumn id="1" xr3:uid="{00000000-0010-0000-0200-000001000000}" name="1" dataDxfId="392"/>
    <tableColumn id="2" xr3:uid="{00000000-0010-0000-0200-000002000000}" name="SIKA" dataDxfId="39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03000000}" name="Tabla837" displayName="Tabla837" ref="Q1:R2" totalsRowShown="0" headerRowDxfId="390" dataDxfId="389" tableBorderDxfId="388">
  <autoFilter ref="Q1:R2" xr:uid="{00000000-0009-0000-0100-000024000000}"/>
  <tableColumns count="2">
    <tableColumn id="1" xr3:uid="{00000000-0010-0000-0300-000001000000}" name="6" dataDxfId="387"/>
    <tableColumn id="2" xr3:uid="{00000000-0010-0000-0300-000002000000}" name="Columna1" dataDxfId="38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04000000}" name="Tabla9" displayName="Tabla9" ref="T1:U11" totalsRowShown="0" headerRowDxfId="385" dataDxfId="384" tableBorderDxfId="383">
  <autoFilter ref="T1:U11" xr:uid="{00000000-0009-0000-0100-000042000000}"/>
  <tableColumns count="2">
    <tableColumn id="1" xr3:uid="{00000000-0010-0000-0400-000001000000}" name="7" dataDxfId="382"/>
    <tableColumn id="2" xr3:uid="{00000000-0010-0000-0400-000002000000}" name="Columna1" dataDxfId="38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05000000}" name="Tabla1169" displayName="Tabla1169" ref="Z1:AA5" totalsRowShown="0" headerRowDxfId="380" dataDxfId="379" tableBorderDxfId="378">
  <autoFilter ref="Z1:AA5" xr:uid="{00000000-0009-0000-0100-000044000000}"/>
  <tableColumns count="2">
    <tableColumn id="1" xr3:uid="{00000000-0010-0000-0500-000001000000}" name="9" dataDxfId="377"/>
    <tableColumn id="2" xr3:uid="{00000000-0010-0000-0500-000002000000}" name="Columna1" dataDxfId="37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06000000}" name="Tabla1471" displayName="Tabla1471" ref="AI1:AJ2" totalsRowShown="0" headerRowDxfId="375" dataDxfId="374">
  <autoFilter ref="AI1:AJ2" xr:uid="{00000000-0009-0000-0100-000046000000}"/>
  <tableColumns count="2">
    <tableColumn id="1" xr3:uid="{00000000-0010-0000-0600-000001000000}" name="12" dataDxfId="373"/>
    <tableColumn id="2" xr3:uid="{00000000-0010-0000-0600-000002000000}" name="Columna1" dataDxfId="3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07000000}" name="Tabla1672" displayName="Tabla1672" ref="AO1:AP2" totalsRowShown="0" headerRowDxfId="371" dataDxfId="370">
  <autoFilter ref="AO1:AP2" xr:uid="{00000000-0009-0000-0100-000047000000}"/>
  <tableColumns count="2">
    <tableColumn id="1" xr3:uid="{00000000-0010-0000-0700-000001000000}" name="14" dataDxfId="369"/>
    <tableColumn id="2" xr3:uid="{00000000-0010-0000-0700-000002000000}" name="ARENAS Y GRAVAS DE COLOMBIA SAS" dataDxfId="36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08000000}" name="Tabla1973" displayName="Tabla1973" ref="AX1:AY2" totalsRowShown="0" headerRowDxfId="367" dataDxfId="366">
  <autoFilter ref="AX1:AY2" xr:uid="{00000000-0009-0000-0100-000048000000}"/>
  <tableColumns count="2">
    <tableColumn id="1" xr3:uid="{00000000-0010-0000-0800-000001000000}" name="17" dataDxfId="365"/>
    <tableColumn id="2" xr3:uid="{00000000-0010-0000-0800-000002000000}" name="HITOS HURBANOS " dataDxfId="36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09000000}" name="Tabla2074" displayName="Tabla2074" ref="BA1:BB2" totalsRowShown="0" headerRowDxfId="363" dataDxfId="362">
  <autoFilter ref="BA1:BB2" xr:uid="{00000000-0009-0000-0100-000049000000}"/>
  <tableColumns count="2">
    <tableColumn id="1" xr3:uid="{00000000-0010-0000-0900-000001000000}" name="18" dataDxfId="361"/>
    <tableColumn id="2" xr3:uid="{00000000-0010-0000-0900-000002000000}" name="Columna1" dataDxfId="36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0A000000}" name="Tabla2175" displayName="Tabla2175" ref="BD1:BE2" totalsRowShown="0" headerRowDxfId="359" dataDxfId="358">
  <autoFilter ref="BD1:BE2" xr:uid="{00000000-0009-0000-0100-00004A000000}"/>
  <tableColumns count="2">
    <tableColumn id="1" xr3:uid="{00000000-0010-0000-0A00-000001000000}" name="19" dataDxfId="357"/>
    <tableColumn id="2" xr3:uid="{00000000-0010-0000-0A00-000002000000}" name="Columna1" dataDxfId="35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0000000-000C-0000-FFFF-FFFF0B000000}" name="Tabla2276" displayName="Tabla2276" ref="BG1:BH2" totalsRowShown="0" headerRowDxfId="355" dataDxfId="354">
  <autoFilter ref="BG1:BH2" xr:uid="{00000000-0009-0000-0100-00004B000000}"/>
  <tableColumns count="2">
    <tableColumn id="1" xr3:uid="{00000000-0010-0000-0B00-000001000000}" name="20" dataDxfId="353"/>
    <tableColumn id="2" xr3:uid="{00000000-0010-0000-0B00-000002000000}" name="Columna1" dataDxfId="35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00000000-000C-0000-FFFF-FFFF0C000000}" name="Tabla2377" displayName="Tabla2377" ref="BJ1:BK2" totalsRowShown="0" headerRowDxfId="351" dataDxfId="350">
  <autoFilter ref="BJ1:BK2" xr:uid="{00000000-0009-0000-0100-00004C000000}"/>
  <tableColumns count="2">
    <tableColumn id="1" xr3:uid="{00000000-0010-0000-0C00-000001000000}" name="21" dataDxfId="349"/>
    <tableColumn id="2" xr3:uid="{00000000-0010-0000-0C00-000002000000}" name="Columna1" dataDxfId="34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00000000-000C-0000-FFFF-FFFF0D000000}" name="Tabla2478" displayName="Tabla2478" ref="BM1:BN2" totalsRowShown="0" headerRowDxfId="347" dataDxfId="346">
  <autoFilter ref="BM1:BN2" xr:uid="{00000000-0009-0000-0100-00004D000000}"/>
  <tableColumns count="2">
    <tableColumn id="1" xr3:uid="{00000000-0010-0000-0D00-000001000000}" name="22" dataDxfId="345"/>
    <tableColumn id="2" xr3:uid="{00000000-0010-0000-0D00-000002000000}" name="Columna1" dataDxfId="34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0000000-000C-0000-FFFF-FFFF0E000000}" name="Tabla2579" displayName="Tabla2579" ref="BP1:BQ2" totalsRowShown="0" headerRowDxfId="343" dataDxfId="342">
  <autoFilter ref="BP1:BQ2" xr:uid="{00000000-0009-0000-0100-00004E000000}"/>
  <tableColumns count="2">
    <tableColumn id="1" xr3:uid="{00000000-0010-0000-0E00-000001000000}" name="23" dataDxfId="341"/>
    <tableColumn id="2" xr3:uid="{00000000-0010-0000-0E00-000002000000}" name="Columna1" dataDxfId="34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00000000-000C-0000-FFFF-FFFF0F000000}" name="Tabla2680" displayName="Tabla2680" ref="BS1:BT2" totalsRowShown="0" headerRowDxfId="339" dataDxfId="338">
  <autoFilter ref="BS1:BT2" xr:uid="{00000000-0009-0000-0100-00004F000000}"/>
  <tableColumns count="2">
    <tableColumn id="1" xr3:uid="{00000000-0010-0000-0F00-000001000000}" name="24" dataDxfId="337"/>
    <tableColumn id="2" xr3:uid="{00000000-0010-0000-0F00-000002000000}" name="Columna1" dataDxfId="33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0000000-000C-0000-FFFF-FFFF10000000}" name="Tabla2781" displayName="Tabla2781" ref="BV1:BW3" totalsRowShown="0" headerRowDxfId="335" dataDxfId="334">
  <autoFilter ref="BV1:BW3" xr:uid="{00000000-0009-0000-0100-000050000000}"/>
  <tableColumns count="2">
    <tableColumn id="1" xr3:uid="{00000000-0010-0000-1000-000001000000}" name="25" dataDxfId="333"/>
    <tableColumn id="2" xr3:uid="{00000000-0010-0000-1000-000002000000}" name="Columna1" dataDxfId="33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0000000-000C-0000-FFFF-FFFF11000000}" name="Tabla3082" displayName="Tabla3082" ref="CE1:CF2" totalsRowShown="0" headerRowDxfId="331" dataDxfId="330">
  <autoFilter ref="CE1:CF2" xr:uid="{00000000-0009-0000-0100-000051000000}"/>
  <tableColumns count="2">
    <tableColumn id="1" xr3:uid="{00000000-0010-0000-1100-000001000000}" name="28" dataDxfId="329"/>
    <tableColumn id="2" xr3:uid="{00000000-0010-0000-1100-000002000000}" name="Columna1" dataDxfId="32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00000000-000C-0000-FFFF-FFFF12000000}" name="Tabla3183" displayName="Tabla3183" ref="CH1:CI2" totalsRowShown="0" headerRowDxfId="327" dataDxfId="326">
  <autoFilter ref="CH1:CI2" xr:uid="{00000000-0009-0000-0100-000052000000}"/>
  <tableColumns count="2">
    <tableColumn id="1" xr3:uid="{00000000-0010-0000-1200-000001000000}" name="29" dataDxfId="325"/>
    <tableColumn id="2" xr3:uid="{00000000-0010-0000-1200-000002000000}" name="Columna1" dataDxfId="32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13000000}" name="Tabla1784" displayName="Tabla1784" ref="AR1:AS2" totalsRowShown="0" headerRowDxfId="323" dataDxfId="322">
  <autoFilter ref="AR1:AS2" xr:uid="{00000000-0009-0000-0100-000053000000}"/>
  <tableColumns count="2">
    <tableColumn id="1" xr3:uid="{00000000-0010-0000-1300-000001000000}" name="15" dataDxfId="321"/>
    <tableColumn id="2" xr3:uid="{00000000-0010-0000-1300-000002000000}" name="AGREGADOS MARTINEZ " dataDxfId="320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00000000-000C-0000-FFFF-FFFF14000000}" name="Tabla3285" displayName="Tabla3285" ref="CK1:CL2" totalsRowShown="0" headerRowDxfId="319" dataDxfId="318">
  <autoFilter ref="CK1:CL2" xr:uid="{00000000-0009-0000-0100-000054000000}"/>
  <tableColumns count="2">
    <tableColumn id="1" xr3:uid="{00000000-0010-0000-1400-000001000000}" name="30" dataDxfId="317"/>
    <tableColumn id="2" xr3:uid="{00000000-0010-0000-1400-000002000000}" name="Columna1" dataDxfId="31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0000000-000C-0000-FFFF-FFFF15000000}" name="Tabla3386" displayName="Tabla3386" ref="CN1:CO10" totalsRowShown="0" headerRowDxfId="315" dataDxfId="314">
  <autoFilter ref="CN1:CO10" xr:uid="{00000000-0009-0000-0100-000055000000}"/>
  <tableColumns count="2">
    <tableColumn id="1" xr3:uid="{00000000-0010-0000-1500-000001000000}" name="31" dataDxfId="313" totalsRowDxfId="312"/>
    <tableColumn id="2" xr3:uid="{00000000-0010-0000-1500-000002000000}" name="Columna1" dataDxfId="311" totalsRowDxfId="310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0000000-000C-0000-FFFF-FFFF16000000}" name="Tabla3487" displayName="Tabla3487" ref="CQ1:CR2" totalsRowShown="0" headerRowDxfId="309" dataDxfId="308">
  <autoFilter ref="CQ1:CR2" xr:uid="{00000000-0009-0000-0100-000056000000}"/>
  <tableColumns count="2">
    <tableColumn id="1" xr3:uid="{00000000-0010-0000-1600-000001000000}" name="32" dataDxfId="307"/>
    <tableColumn id="2" xr3:uid="{00000000-0010-0000-1600-000002000000}" name="Columna1" dataDxfId="306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0000000-000C-0000-FFFF-FFFF17000000}" name="Tabla3588" displayName="Tabla3588" ref="CT1:CU2" totalsRowShown="0" headerRowDxfId="305" dataDxfId="304">
  <autoFilter ref="CT1:CU2" xr:uid="{00000000-0009-0000-0100-000057000000}"/>
  <tableColumns count="2">
    <tableColumn id="1" xr3:uid="{00000000-0010-0000-1700-000001000000}" name="33" dataDxfId="303"/>
    <tableColumn id="2" xr3:uid="{00000000-0010-0000-1700-000002000000}" name="Columna1" dataDxfId="302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000000-000C-0000-FFFF-FFFF18000000}" name="Tabla3689" displayName="Tabla3689" ref="CW1:CX2" totalsRowShown="0" headerRowDxfId="301" dataDxfId="300">
  <autoFilter ref="CW1:CX2" xr:uid="{00000000-0009-0000-0100-000058000000}"/>
  <tableColumns count="2">
    <tableColumn id="1" xr3:uid="{00000000-0010-0000-1800-000001000000}" name="34" dataDxfId="299"/>
    <tableColumn id="2" xr3:uid="{00000000-0010-0000-1800-000002000000}" name="Columna1" dataDxfId="298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0000000-000C-0000-FFFF-FFFF19000000}" name="Tabla3790" displayName="Tabla3790" ref="CZ1:DA3" totalsRowShown="0" headerRowDxfId="297" dataDxfId="296">
  <autoFilter ref="CZ1:DA3" xr:uid="{00000000-0009-0000-0100-000059000000}"/>
  <tableColumns count="2">
    <tableColumn id="1" xr3:uid="{00000000-0010-0000-1900-000001000000}" name="35" dataDxfId="295"/>
    <tableColumn id="2" xr3:uid="{00000000-0010-0000-1900-000002000000}" name="Columna1" dataDxfId="294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00000000-000C-0000-FFFF-FFFF1A000000}" name="Tabla6" displayName="Tabla6" ref="K1:L2" insertRow="1" totalsRowShown="0" headerRowDxfId="293" dataDxfId="292">
  <autoFilter ref="K1:L2" xr:uid="{00000000-0009-0000-0100-00005A000000}"/>
  <tableColumns count="2">
    <tableColumn id="1" xr3:uid="{00000000-0010-0000-1A00-000001000000}" name="4" dataDxfId="291"/>
    <tableColumn id="2" xr3:uid="{00000000-0010-0000-1A00-000002000000}" name="Columna1" dataDxfId="290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00000000-000C-0000-FFFF-FFFF1B000000}" name="Tabla792" displayName="Tabla792" ref="N1:O2" totalsRowShown="0" headerRowDxfId="289" dataDxfId="288">
  <autoFilter ref="N1:O2" xr:uid="{00000000-0009-0000-0100-00005B000000}"/>
  <tableColumns count="2">
    <tableColumn id="1" xr3:uid="{00000000-0010-0000-1B00-000001000000}" name="5" dataDxfId="287"/>
    <tableColumn id="2" xr3:uid="{00000000-0010-0000-1B00-000002000000}" name="Columna1" dataDxfId="286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00000000-000C-0000-FFFF-FFFF1C000000}" name="Tabla1093" displayName="Tabla1093" ref="W1:X2" totalsRowShown="0" headerRowDxfId="285" dataDxfId="284">
  <autoFilter ref="W1:X2" xr:uid="{00000000-0009-0000-0100-00005C000000}"/>
  <tableColumns count="2">
    <tableColumn id="1" xr3:uid="{00000000-0010-0000-1C00-000001000000}" name="8" dataDxfId="283"/>
    <tableColumn id="2" xr3:uid="{00000000-0010-0000-1C00-000002000000}" name="DISEÑOS Y CONSTRUCCIONES DYCO S.A.S" dataDxfId="282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00000000-000C-0000-FFFF-FFFF1D000000}" name="Tabla1294" displayName="Tabla1294" ref="AC1:AD2" totalsRowShown="0" headerRowDxfId="281" dataDxfId="280">
  <autoFilter ref="AC1:AD2" xr:uid="{00000000-0009-0000-0100-00005D000000}"/>
  <tableColumns count="2">
    <tableColumn id="1" xr3:uid="{00000000-0010-0000-1D00-000001000000}" name="10" dataDxfId="279"/>
    <tableColumn id="2" xr3:uid="{00000000-0010-0000-1D00-000002000000}" name="ASFALTEMOS" dataDxfId="278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0000000-000C-0000-FFFF-FFFF1E000000}" name="Tabla1395" displayName="Tabla1395" ref="AF1:AG2" totalsRowShown="0" headerRowDxfId="277" dataDxfId="276">
  <autoFilter ref="AF1:AG2" xr:uid="{00000000-0009-0000-0100-00005E000000}"/>
  <tableColumns count="2">
    <tableColumn id="1" xr3:uid="{00000000-0010-0000-1E00-000001000000}" name="11" dataDxfId="275"/>
    <tableColumn id="2" xr3:uid="{00000000-0010-0000-1E00-000002000000}" name="Columna1" dataDxfId="274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00000000-000C-0000-FFFF-FFFF1F000000}" name="Tabla1596" displayName="Tabla1596" ref="AL1:AM2" totalsRowShown="0" headerRowDxfId="273" dataDxfId="272">
  <autoFilter ref="AL1:AM2" xr:uid="{00000000-0009-0000-0100-00005F000000}"/>
  <tableColumns count="2">
    <tableColumn id="1" xr3:uid="{00000000-0010-0000-1F00-000001000000}" name="13" dataDxfId="271"/>
    <tableColumn id="2" xr3:uid="{00000000-0010-0000-1F00-000002000000}" name="UNION TEMPORAL ROVIRA 2018" dataDxfId="270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00000000-000C-0000-FFFF-FFFF20000000}" name="Tabla1897" displayName="Tabla1897" ref="AU1:AV2" totalsRowShown="0" headerRowDxfId="269" dataDxfId="268">
  <autoFilter ref="AU1:AV2" xr:uid="{00000000-0009-0000-0100-000060000000}"/>
  <tableColumns count="2">
    <tableColumn id="1" xr3:uid="{00000000-0010-0000-2000-000001000000}" name="16" dataDxfId="267"/>
    <tableColumn id="2" xr3:uid="{00000000-0010-0000-2000-000002000000}" name="Columna1" dataDxfId="266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0000000-000C-0000-FFFF-FFFF21000000}" name="Tabla2998" displayName="Tabla2998" ref="CB1:CC3" totalsRowShown="0" headerRowDxfId="265" dataDxfId="264">
  <autoFilter ref="CB1:CC3" xr:uid="{00000000-0009-0000-0100-000061000000}"/>
  <tableColumns count="2">
    <tableColumn id="1" xr3:uid="{00000000-0010-0000-2100-000001000000}" name="27" dataDxfId="263"/>
    <tableColumn id="2" xr3:uid="{00000000-0010-0000-2100-000002000000}" name="Columna1" dataDxfId="262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00000000-000C-0000-FFFF-FFFF22000000}" name="Tabla38" displayName="Tabla38" ref="DC1:DD2" totalsRowShown="0" headerRowDxfId="261" dataDxfId="260">
  <autoFilter ref="DC1:DD2" xr:uid="{00000000-0009-0000-0100-000062000000}"/>
  <tableColumns count="2">
    <tableColumn id="1" xr3:uid="{00000000-0010-0000-2200-000001000000}" name="36" dataDxfId="259"/>
    <tableColumn id="2" xr3:uid="{00000000-0010-0000-2200-000002000000}" name="Columna1" dataDxfId="258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00000000-000C-0000-FFFF-FFFF23000000}" name="Tabla60" displayName="Tabla60" ref="DF1:DG2" totalsRowShown="0" headerRowDxfId="257" dataDxfId="256">
  <autoFilter ref="DF1:DG2" xr:uid="{00000000-0009-0000-0100-000063000000}"/>
  <tableColumns count="2">
    <tableColumn id="1" xr3:uid="{00000000-0010-0000-2300-000001000000}" name="37" dataDxfId="255"/>
    <tableColumn id="2" xr3:uid="{00000000-0010-0000-2300-000002000000}" name="Columna1" dataDxfId="254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00000000-000C-0000-FFFF-FFFF24000000}" name="Tabla62" displayName="Tabla62" ref="DI1:DJ2" totalsRowShown="0" headerRowDxfId="253" dataDxfId="252">
  <autoFilter ref="DI1:DJ2" xr:uid="{00000000-0009-0000-0100-000064000000}"/>
  <tableColumns count="2">
    <tableColumn id="1" xr3:uid="{00000000-0010-0000-2400-000001000000}" name="38" dataDxfId="251"/>
    <tableColumn id="2" xr3:uid="{00000000-0010-0000-2400-000002000000}" name="Columna1" dataDxfId="250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00000000-000C-0000-FFFF-FFFF25000000}" name="Tabla64" displayName="Tabla64" ref="DL1:DM2" totalsRowShown="0" headerRowDxfId="249" dataDxfId="248">
  <autoFilter ref="DL1:DM2" xr:uid="{00000000-0009-0000-0100-000065000000}"/>
  <tableColumns count="2">
    <tableColumn id="1" xr3:uid="{00000000-0010-0000-2500-000001000000}" name="39" dataDxfId="247"/>
    <tableColumn id="2" xr3:uid="{00000000-0010-0000-2500-000002000000}" name="Columna1" dataDxfId="246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00000000-000C-0000-FFFF-FFFF26000000}" name="Tabla65" displayName="Tabla65" ref="DO1:DP2" totalsRowShown="0" headerRowDxfId="245" dataDxfId="244">
  <autoFilter ref="DO1:DP2" xr:uid="{00000000-0009-0000-0100-000066000000}"/>
  <tableColumns count="2">
    <tableColumn id="1" xr3:uid="{00000000-0010-0000-2600-000001000000}" name="40" dataDxfId="243"/>
    <tableColumn id="2" xr3:uid="{00000000-0010-0000-2600-000002000000}" name="Columna1" dataDxfId="242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00000000-000C-0000-FFFF-FFFF27000000}" name="Tabla6568" displayName="Tabla6568" ref="DU1:DV5" totalsRowShown="0" headerRowDxfId="241" dataDxfId="240">
  <autoFilter ref="DU1:DV5" xr:uid="{00000000-0009-0000-0100-000067000000}"/>
  <tableColumns count="2">
    <tableColumn id="1" xr3:uid="{00000000-0010-0000-2700-000001000000}" name="42" dataDxfId="239"/>
    <tableColumn id="2" xr3:uid="{00000000-0010-0000-2700-000002000000}" name="Columna1" dataDxfId="238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00000000-000C-0000-FFFF-FFFF28000000}" name="Tabla6576" displayName="Tabla6576" ref="DX1:DY3" totalsRowShown="0" headerRowDxfId="237" dataDxfId="236">
  <autoFilter ref="DX1:DY3" xr:uid="{00000000-0009-0000-0100-000068000000}"/>
  <tableColumns count="2">
    <tableColumn id="1" xr3:uid="{00000000-0010-0000-2800-000001000000}" name="43" dataDxfId="235"/>
    <tableColumn id="2" xr3:uid="{00000000-0010-0000-2800-000002000000}" name="Columna1" dataDxfId="234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00000000-000C-0000-FFFF-FFFF29000000}" name="Tabla6577" displayName="Tabla6577" ref="EA1:EB3" totalsRowShown="0" headerRowDxfId="233" dataDxfId="232">
  <autoFilter ref="EA1:EB3" xr:uid="{00000000-0009-0000-0100-000069000000}"/>
  <tableColumns count="2">
    <tableColumn id="1" xr3:uid="{00000000-0010-0000-2900-000001000000}" name="44" dataDxfId="231"/>
    <tableColumn id="2" xr3:uid="{00000000-0010-0000-2900-000002000000}" name="Columna1" dataDxfId="230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00000000-000C-0000-FFFF-FFFF2A000000}" name="Tabla6567" displayName="Tabla6567" ref="DR1:DS3" totalsRowShown="0" headerRowDxfId="229" dataDxfId="228">
  <autoFilter ref="DR1:DS3" xr:uid="{00000000-0009-0000-0100-00006A000000}"/>
  <tableColumns count="2">
    <tableColumn id="1" xr3:uid="{00000000-0010-0000-2A00-000001000000}" name="41" dataDxfId="227"/>
    <tableColumn id="2" xr3:uid="{00000000-0010-0000-2A00-000002000000}" name="Columna1" dataDxfId="226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00000000-000C-0000-FFFF-FFFF2B000000}" name="Tabla657778" displayName="Tabla657778" ref="ED1:EE3" totalsRowShown="0" headerRowDxfId="225" dataDxfId="224">
  <autoFilter ref="ED1:EE3" xr:uid="{00000000-0009-0000-0100-00006B000000}"/>
  <tableColumns count="2">
    <tableColumn id="1" xr3:uid="{00000000-0010-0000-2B00-000001000000}" name="45" dataDxfId="223"/>
    <tableColumn id="2" xr3:uid="{00000000-0010-0000-2B00-000002000000}" name="Columna1" dataDxfId="222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00000000-000C-0000-FFFF-FFFF2C000000}" name="Tabla657779" displayName="Tabla657779" ref="EG1:EH9" totalsRowShown="0" headerRowDxfId="221" dataDxfId="220">
  <autoFilter ref="EG1:EH9" xr:uid="{00000000-0009-0000-0100-00006C000000}"/>
  <tableColumns count="2">
    <tableColumn id="1" xr3:uid="{00000000-0010-0000-2C00-000001000000}" name="46" dataDxfId="219"/>
    <tableColumn id="2" xr3:uid="{00000000-0010-0000-2C00-000002000000}" name="Columna1" dataDxfId="218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00000000-000C-0000-FFFF-FFFF2D000000}" name="Tabla4110" displayName="Tabla4110" ref="E1:F5" totalsRowShown="0" headerRowDxfId="217" dataDxfId="216" tableBorderDxfId="215">
  <autoFilter ref="E1:F5" xr:uid="{00000000-0009-0000-0100-00006D000000}"/>
  <tableColumns count="2">
    <tableColumn id="1" xr3:uid="{00000000-0010-0000-2D00-000001000000}" name="2" dataDxfId="214"/>
    <tableColumn id="2" xr3:uid="{00000000-0010-0000-2D00-000002000000}" name="CONSTRUCCIONES DALABU SAS" dataDxfId="213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00000000-000C-0000-FFFF-FFFF2E000000}" name="Tabla5111" displayName="Tabla5111" ref="H1:I6" totalsRowShown="0" headerRowDxfId="212" dataDxfId="211" tableBorderDxfId="210">
  <autoFilter ref="H1:I6" xr:uid="{00000000-0009-0000-0100-00006E000000}"/>
  <tableColumns count="2">
    <tableColumn id="1" xr3:uid="{00000000-0010-0000-2E00-000001000000}" name="3" dataDxfId="209"/>
    <tableColumn id="2" xr3:uid="{00000000-0010-0000-2E00-000002000000}" name="PRETENSADOS DEL TOLIMA S.A.S PRETOLSA" dataDxfId="208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00000000-000C-0000-FFFF-FFFF2F000000}" name="Tabla45" displayName="Tabla45" ref="EJ1:EK2" totalsRowShown="0" headerRowDxfId="207" dataDxfId="206">
  <autoFilter ref="EJ1:EK2" xr:uid="{00000000-0009-0000-0100-00006F000000}"/>
  <tableColumns count="2">
    <tableColumn id="1" xr3:uid="{00000000-0010-0000-2F00-000001000000}" name="47" dataDxfId="205"/>
    <tableColumn id="2" xr3:uid="{00000000-0010-0000-2F00-000002000000}" name="Columna1" dataDxfId="204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00000000-000C-0000-FFFF-FFFF30000000}" name="Tabla58152" displayName="Tabla58152" ref="EM1:EN2" totalsRowShown="0" headerRowDxfId="203" dataDxfId="202">
  <autoFilter ref="EM1:EN2" xr:uid="{00000000-0009-0000-0100-000070000000}"/>
  <tableColumns count="2">
    <tableColumn id="1" xr3:uid="{00000000-0010-0000-3000-000001000000}" name="48" dataDxfId="201"/>
    <tableColumn id="2" xr3:uid="{00000000-0010-0000-3000-000002000000}" name="Columna1" dataDxfId="200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00000000-000C-0000-FFFF-FFFF31000000}" name="Tabla79153" displayName="Tabla79153" ref="EP1:EQ2" totalsRowShown="0" headerRowDxfId="199" dataDxfId="198">
  <autoFilter ref="EP1:EQ2" xr:uid="{00000000-0009-0000-0100-000071000000}"/>
  <tableColumns count="2">
    <tableColumn id="1" xr3:uid="{00000000-0010-0000-3100-000001000000}" name="49" dataDxfId="197"/>
    <tableColumn id="2" xr3:uid="{00000000-0010-0000-3100-000002000000}" name="Columna1" dataDxfId="196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00000000-000C-0000-FFFF-FFFF32000000}" name="Tabla80" displayName="Tabla80" ref="ES1:ET6" totalsRowShown="0" headerRowDxfId="195" dataDxfId="194">
  <autoFilter ref="ES1:ET6" xr:uid="{00000000-0009-0000-0100-000072000000}"/>
  <tableColumns count="2">
    <tableColumn id="1" xr3:uid="{00000000-0010-0000-3200-000001000000}" name="50" dataDxfId="193"/>
    <tableColumn id="2" xr3:uid="{00000000-0010-0000-3200-000002000000}" name="Columna1" dataDxfId="192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00000000-000C-0000-FFFF-FFFF33000000}" name="Tabla81" displayName="Tabla81" ref="EV1:EW3" totalsRowShown="0" headerRowDxfId="191" dataDxfId="190">
  <autoFilter ref="EV1:EW3" xr:uid="{00000000-0009-0000-0100-000073000000}"/>
  <tableColumns count="2">
    <tableColumn id="1" xr3:uid="{00000000-0010-0000-3300-000001000000}" name="51" dataDxfId="189"/>
    <tableColumn id="2" xr3:uid="{00000000-0010-0000-3300-000002000000}" name="Columna1" dataDxfId="188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00000000-000C-0000-FFFF-FFFF34000000}" name="Tabla82" displayName="Tabla82" ref="EY1:EZ3" totalsRowShown="0" headerRowDxfId="187" dataDxfId="186">
  <autoFilter ref="EY1:EZ3" xr:uid="{00000000-0009-0000-0100-000074000000}"/>
  <tableColumns count="2">
    <tableColumn id="1" xr3:uid="{00000000-0010-0000-3400-000001000000}" name="52" dataDxfId="185"/>
    <tableColumn id="2" xr3:uid="{00000000-0010-0000-3400-000002000000}" name="Columna1" dataDxfId="184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00000000-000C-0000-FFFF-FFFF35000000}" name="Tabla83" displayName="Tabla83" ref="FB1:FC2" totalsRowShown="0" headerRowDxfId="183" dataDxfId="182">
  <autoFilter ref="FB1:FC2" xr:uid="{00000000-0009-0000-0100-000075000000}"/>
  <tableColumns count="2">
    <tableColumn id="1" xr3:uid="{00000000-0010-0000-3500-000001000000}" name="53" dataDxfId="181"/>
    <tableColumn id="2" xr3:uid="{00000000-0010-0000-3500-000002000000}" name="Columna1" dataDxfId="180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00000000-000C-0000-FFFF-FFFF36000000}" name="Tabla85" displayName="Tabla85" ref="FH1:FI2" totalsRowShown="0" headerRowDxfId="179" dataDxfId="178">
  <autoFilter ref="FH1:FI2" xr:uid="{00000000-0009-0000-0100-000076000000}"/>
  <tableColumns count="2">
    <tableColumn id="1" xr3:uid="{00000000-0010-0000-3600-000001000000}" name="55" dataDxfId="177"/>
    <tableColumn id="2" xr3:uid="{00000000-0010-0000-3600-000002000000}" name="Columna1" dataDxfId="176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00000000-000C-0000-FFFF-FFFF37000000}" name="Tabla86" displayName="Tabla86" ref="FK1:FL2" totalsRowShown="0" headerRowDxfId="175" dataDxfId="174">
  <autoFilter ref="FK1:FL2" xr:uid="{00000000-0009-0000-0100-000077000000}"/>
  <tableColumns count="2">
    <tableColumn id="1" xr3:uid="{00000000-0010-0000-3700-000001000000}" name="Columna2" dataDxfId="173"/>
    <tableColumn id="2" xr3:uid="{00000000-0010-0000-3700-000002000000}" name="Columna1" dataDxfId="172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00000000-000C-0000-FFFF-FFFF38000000}" name="Tabla87" displayName="Tabla87" ref="FN1:FO2" totalsRowShown="0" headerRowDxfId="171" dataDxfId="170">
  <autoFilter ref="FN1:FO2" xr:uid="{00000000-0009-0000-0100-000078000000}"/>
  <tableColumns count="2">
    <tableColumn id="1" xr3:uid="{00000000-0010-0000-3800-000001000000}" name="Columna1" dataDxfId="169"/>
    <tableColumn id="2" xr3:uid="{00000000-0010-0000-3800-000002000000}" name="Columna2" dataDxfId="168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00000000-000C-0000-FFFF-FFFF39000000}" name="Tabla88" displayName="Tabla88" ref="FQ1:FR2" totalsRowShown="0" headerRowDxfId="167" dataDxfId="166">
  <autoFilter ref="FQ1:FR2" xr:uid="{00000000-0009-0000-0100-000079000000}"/>
  <tableColumns count="2">
    <tableColumn id="1" xr3:uid="{00000000-0010-0000-3900-000001000000}" name="Columna1" dataDxfId="165"/>
    <tableColumn id="2" xr3:uid="{00000000-0010-0000-3900-000002000000}" name="Columna2" dataDxfId="164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00000000-000C-0000-FFFF-FFFF3A000000}" name="Tabla89" displayName="Tabla89" ref="FT1:FU2" totalsRowShown="0" headerRowDxfId="163" dataDxfId="162">
  <autoFilter ref="FT1:FU2" xr:uid="{00000000-0009-0000-0100-00007A000000}"/>
  <tableColumns count="2">
    <tableColumn id="1" xr3:uid="{00000000-0010-0000-3A00-000001000000}" name="Columna1" dataDxfId="161"/>
    <tableColumn id="2" xr3:uid="{00000000-0010-0000-3A00-000002000000}" name="Columna2" dataDxfId="160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00000000-000C-0000-FFFF-FFFF3B000000}" name="Tabla90" displayName="Tabla90" ref="FW1:FX2" totalsRowShown="0" headerRowDxfId="159" dataDxfId="158">
  <autoFilter ref="FW1:FX2" xr:uid="{00000000-0009-0000-0100-00007B000000}"/>
  <tableColumns count="2">
    <tableColumn id="1" xr3:uid="{00000000-0010-0000-3B00-000001000000}" name="Columna1" dataDxfId="157"/>
    <tableColumn id="2" xr3:uid="{00000000-0010-0000-3B00-000002000000}" name="Columna2" dataDxfId="156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00000000-000C-0000-FFFF-FFFF3C000000}" name="Tabla91" displayName="Tabla91" ref="FZ1:GA2" totalsRowShown="0" headerRowDxfId="155" dataDxfId="154">
  <autoFilter ref="FZ1:GA2" xr:uid="{00000000-0009-0000-0100-00007C000000}"/>
  <tableColumns count="2">
    <tableColumn id="1" xr3:uid="{00000000-0010-0000-3C00-000001000000}" name="Columna1" dataDxfId="153"/>
    <tableColumn id="2" xr3:uid="{00000000-0010-0000-3C00-000002000000}" name="Columna2" dataDxfId="152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00000000-000C-0000-FFFF-FFFF3D000000}" name="Tabla92" displayName="Tabla92" ref="GC1:GD2" totalsRowShown="0" headerRowDxfId="151" dataDxfId="150">
  <autoFilter ref="GC1:GD2" xr:uid="{00000000-0009-0000-0100-00007D000000}"/>
  <tableColumns count="2">
    <tableColumn id="1" xr3:uid="{00000000-0010-0000-3D00-000001000000}" name="Columna1" dataDxfId="149"/>
    <tableColumn id="2" xr3:uid="{00000000-0010-0000-3D00-000002000000}" name="Columna2" dataDxfId="148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00000000-000C-0000-FFFF-FFFF3E000000}" name="Tabla93" displayName="Tabla93" ref="GF1:GG2" totalsRowShown="0" headerRowDxfId="147" dataDxfId="146">
  <autoFilter ref="GF1:GG2" xr:uid="{00000000-0009-0000-0100-00007E000000}"/>
  <tableColumns count="2">
    <tableColumn id="1" xr3:uid="{00000000-0010-0000-3E00-000001000000}" name="Columna1" dataDxfId="145"/>
    <tableColumn id="2" xr3:uid="{00000000-0010-0000-3E00-000002000000}" name="Columna2" dataDxfId="144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00000000-000C-0000-FFFF-FFFF3F000000}" name="Tabla94" displayName="Tabla94" ref="GI1:GJ2" totalsRowShown="0" headerRowDxfId="143" dataDxfId="142">
  <autoFilter ref="GI1:GJ2" xr:uid="{00000000-0009-0000-0100-00007F000000}"/>
  <tableColumns count="2">
    <tableColumn id="1" xr3:uid="{00000000-0010-0000-3F00-000001000000}" name="Columna1" dataDxfId="141"/>
    <tableColumn id="2" xr3:uid="{00000000-0010-0000-3F00-000002000000}" name="Columna2" dataDxfId="140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00000000-000C-0000-FFFF-FFFF40000000}" name="Tabla95" displayName="Tabla95" ref="GL1:GM2" totalsRowShown="0" headerRowDxfId="139" dataDxfId="138">
  <autoFilter ref="GL1:GM2" xr:uid="{00000000-0009-0000-0100-000080000000}"/>
  <tableColumns count="2">
    <tableColumn id="1" xr3:uid="{00000000-0010-0000-4000-000001000000}" name="Columna1" dataDxfId="137"/>
    <tableColumn id="2" xr3:uid="{00000000-0010-0000-4000-000002000000}" name="Columna2" dataDxfId="136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00000000-000C-0000-FFFF-FFFF41000000}" name="Tabla96" displayName="Tabla96" ref="GO1:GP2" totalsRowShown="0" headerRowDxfId="135" dataDxfId="134">
  <autoFilter ref="GO1:GP2" xr:uid="{00000000-0009-0000-0100-000081000000}"/>
  <tableColumns count="2">
    <tableColumn id="1" xr3:uid="{00000000-0010-0000-4100-000001000000}" name="Columna1" dataDxfId="133"/>
    <tableColumn id="2" xr3:uid="{00000000-0010-0000-4100-000002000000}" name="Columna2" dataDxfId="132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00000000-000C-0000-FFFF-FFFF42000000}" name="Tabla97" displayName="Tabla97" ref="GR1:GS2" totalsRowShown="0" headerRowDxfId="131" dataDxfId="130">
  <autoFilter ref="GR1:GS2" xr:uid="{00000000-0009-0000-0100-000082000000}"/>
  <tableColumns count="2">
    <tableColumn id="1" xr3:uid="{00000000-0010-0000-4200-000001000000}" name="Columna1" dataDxfId="129"/>
    <tableColumn id="2" xr3:uid="{00000000-0010-0000-4200-000002000000}" name="Columna2" dataDxfId="128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00000000-000C-0000-FFFF-FFFF43000000}" name="Tabla98" displayName="Tabla98" ref="GU1:GV2" totalsRowShown="0" headerRowDxfId="127" dataDxfId="126">
  <autoFilter ref="GU1:GV2" xr:uid="{00000000-0009-0000-0100-000083000000}"/>
  <tableColumns count="2">
    <tableColumn id="1" xr3:uid="{00000000-0010-0000-4300-000001000000}" name="Columna1" dataDxfId="125"/>
    <tableColumn id="2" xr3:uid="{00000000-0010-0000-4300-000002000000}" name="Columna2" dataDxfId="124"/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00000000-000C-0000-FFFF-FFFF44000000}" name="Tabla84" displayName="Tabla84" ref="FE1:FF7" totalsRowShown="0" headerRowDxfId="123" dataDxfId="122">
  <autoFilter ref="FE1:FF7" xr:uid="{00000000-0009-0000-0100-000084000000}"/>
  <tableColumns count="2">
    <tableColumn id="1" xr3:uid="{00000000-0010-0000-4400-000001000000}" name="54" dataDxfId="121"/>
    <tableColumn id="2" xr3:uid="{00000000-0010-0000-4400-000002000000}" name="Columna1" dataDxfId="120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00000000-000C-0000-FFFF-FFFF45000000}" name="Tabla28134" displayName="Tabla28134" ref="BY1:BZ2" totalsRowShown="0" headerRowDxfId="119" dataDxfId="118" tableBorderDxfId="117">
  <autoFilter ref="BY1:BZ2" xr:uid="{00000000-0009-0000-0100-000085000000}"/>
  <tableColumns count="2">
    <tableColumn id="1" xr3:uid="{00000000-0010-0000-4500-000001000000}" name="26" dataDxfId="116"/>
    <tableColumn id="2" xr3:uid="{00000000-0010-0000-4500-000002000000}" name="Columna1" dataDxfId="115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46000000}" name="Tabla11111" displayName="Tabla11111" ref="A1:B21" totalsRowShown="0" headerRowDxfId="114">
  <autoFilter ref="A1:B21" xr:uid="{00000000-0009-0000-0100-00001F000000}"/>
  <tableColumns count="2">
    <tableColumn id="1" xr3:uid="{00000000-0010-0000-4600-000001000000}" name="CODIGO"/>
    <tableColumn id="2" xr3:uid="{00000000-0010-0000-4600-000002000000}" name="EMPRESA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00000000-000C-0000-FFFF-FFFF47000000}" name="Tabla103" displayName="Tabla103" ref="B1:C2" totalsRowShown="0" headerRowDxfId="113" dataDxfId="112">
  <autoFilter ref="B1:C2" xr:uid="{00000000-0009-0000-0100-000086000000}"/>
  <tableColumns count="2">
    <tableColumn id="1" xr3:uid="{00000000-0010-0000-4700-000001000000}" name="0-1" dataDxfId="111"/>
    <tableColumn id="2" xr3:uid="{00000000-0010-0000-4700-000002000000}" name="Columna1" dataDxfId="110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00000000-000C-0000-FFFF-FFFF48000000}" name="Tabla104" displayName="Tabla104" ref="B4:C5" totalsRowShown="0" headerRowDxfId="109" dataDxfId="108" tableBorderDxfId="107">
  <autoFilter ref="B4:C5" xr:uid="{00000000-0009-0000-0100-000087000000}"/>
  <tableColumns count="2">
    <tableColumn id="1" xr3:uid="{00000000-0010-0000-4800-000001000000}" name="0-2" dataDxfId="106"/>
    <tableColumn id="2" xr3:uid="{00000000-0010-0000-4800-000002000000}" name="Columna1" dataDxfId="105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00000000-000C-0000-FFFF-FFFF49000000}" name="Tabla105" displayName="Tabla105" ref="B7:C8" totalsRowShown="0" headerRowDxfId="104" dataDxfId="103" tableBorderDxfId="102">
  <autoFilter ref="B7:C8" xr:uid="{00000000-0009-0000-0100-000088000000}"/>
  <tableColumns count="2">
    <tableColumn id="1" xr3:uid="{00000000-0010-0000-4900-000001000000}" name="0-3" dataDxfId="101"/>
    <tableColumn id="2" xr3:uid="{00000000-0010-0000-4900-000002000000}" name="Columna1" dataDxfId="100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00000000-000C-0000-FFFF-FFFF4A000000}" name="Tabla108" displayName="Tabla108" ref="B16:C17" totalsRowShown="0" headerRowDxfId="99" dataDxfId="98" tableBorderDxfId="97">
  <autoFilter ref="B16:C17" xr:uid="{00000000-0009-0000-0100-000089000000}"/>
  <tableColumns count="2">
    <tableColumn id="1" xr3:uid="{00000000-0010-0000-4A00-000001000000}" name="0-6" dataDxfId="96"/>
    <tableColumn id="2" xr3:uid="{00000000-0010-0000-4A00-000002000000}" name="Columna1" dataDxfId="95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00000000-000C-0000-FFFF-FFFF4B000000}" name="Tabla109" displayName="Tabla109" ref="B19:C20" totalsRowShown="0" headerRowDxfId="94" dataDxfId="93" tableBorderDxfId="92">
  <autoFilter ref="B19:C20" xr:uid="{00000000-0009-0000-0100-00008A000000}"/>
  <tableColumns count="2">
    <tableColumn id="1" xr3:uid="{00000000-0010-0000-4B00-000001000000}" name="0-7" dataDxfId="91"/>
    <tableColumn id="2" xr3:uid="{00000000-0010-0000-4B00-000002000000}" name="Columna1" dataDxfId="90"/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00000000-000C-0000-FFFF-FFFF4C000000}" name="Tabla112" displayName="Tabla112" ref="B25:C26" totalsRowShown="0" headerRowDxfId="89" dataDxfId="88" tableBorderDxfId="87">
  <autoFilter ref="B25:C26" xr:uid="{00000000-0009-0000-0100-00008B000000}"/>
  <tableColumns count="2">
    <tableColumn id="1" xr3:uid="{00000000-0010-0000-4C00-000001000000}" name="0-9" dataDxfId="86"/>
    <tableColumn id="2" xr3:uid="{00000000-0010-0000-4C00-000002000000}" name="Columna1" dataDxfId="85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00000000-000C-0000-FFFF-FFFF4D000000}" name="Tabla115" displayName="Tabla115" ref="B34:C35" totalsRowShown="0" headerRowDxfId="84" dataDxfId="83">
  <autoFilter ref="B34:C35" xr:uid="{00000000-0009-0000-0100-00008C000000}"/>
  <tableColumns count="2">
    <tableColumn id="1" xr3:uid="{00000000-0010-0000-4D00-000001000000}" name="0-12" dataDxfId="82"/>
    <tableColumn id="2" xr3:uid="{00000000-0010-0000-4D00-000002000000}" name="Columna1" dataDxfId="81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00000000-000C-0000-FFFF-FFFF4E000000}" name="Tabla117" displayName="Tabla117" ref="B40:C41" totalsRowShown="0" headerRowDxfId="80" dataDxfId="79">
  <autoFilter ref="B40:C41" xr:uid="{00000000-0009-0000-0100-00008D000000}"/>
  <tableColumns count="2">
    <tableColumn id="1" xr3:uid="{00000000-0010-0000-4E00-000001000000}" name="0-14" dataDxfId="78"/>
    <tableColumn id="2" xr3:uid="{00000000-0010-0000-4E00-000002000000}" name="Columna1" dataDxfId="77"/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00000000-000C-0000-FFFF-FFFF4F000000}" name="Tabla120" displayName="Tabla120" ref="B49:C50" totalsRowShown="0" headerRowDxfId="76" dataDxfId="75">
  <autoFilter ref="B49:C50" xr:uid="{00000000-0009-0000-0100-00008E000000}"/>
  <tableColumns count="2">
    <tableColumn id="1" xr3:uid="{00000000-0010-0000-4F00-000001000000}" name="0-17" dataDxfId="74"/>
    <tableColumn id="2" xr3:uid="{00000000-0010-0000-4F00-000002000000}" name="Columna1" dataDxfId="73"/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00000000-000C-0000-FFFF-FFFF50000000}" name="Tabla121" displayName="Tabla121" ref="B52:C53" totalsRowShown="0" headerRowDxfId="72" dataDxfId="71">
  <autoFilter ref="B52:C53" xr:uid="{00000000-0009-0000-0100-00008F000000}"/>
  <tableColumns count="2">
    <tableColumn id="1" xr3:uid="{00000000-0010-0000-5000-000001000000}" name="0-18" dataDxfId="70"/>
    <tableColumn id="2" xr3:uid="{00000000-0010-0000-5000-000002000000}" name="Columna1" dataDxfId="69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00000000-000C-0000-FFFF-FFFF51000000}" name="Tabla122" displayName="Tabla122" ref="B55:C56" totalsRowShown="0" headerRowDxfId="68" dataDxfId="67">
  <autoFilter ref="B55:C56" xr:uid="{00000000-0009-0000-0100-000090000000}"/>
  <tableColumns count="2">
    <tableColumn id="1" xr3:uid="{00000000-0010-0000-5100-000001000000}" name="0-19" dataDxfId="66"/>
    <tableColumn id="2" xr3:uid="{00000000-0010-0000-5100-000002000000}" name="Columna1" dataDxfId="65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00000000-000C-0000-FFFF-FFFF52000000}" name="Tabla118" displayName="Tabla118" ref="B43:C44" totalsRowShown="0" headerRowDxfId="64" dataDxfId="63">
  <autoFilter ref="B43:C44" xr:uid="{00000000-0009-0000-0100-000091000000}"/>
  <tableColumns count="2">
    <tableColumn id="1" xr3:uid="{00000000-0010-0000-5200-000001000000}" name="0-15" dataDxfId="62"/>
    <tableColumn id="2" xr3:uid="{00000000-0010-0000-5200-000002000000}" name="Columna1" dataDxfId="61"/>
  </tableColumns>
  <tableStyleInfo name="TableStyleMedium2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00000000-000C-0000-FFFF-FFFF53000000}" name="Tabla106" displayName="Tabla106" ref="B10:C11" totalsRowShown="0" headerRowDxfId="60" dataDxfId="59">
  <autoFilter ref="B10:C11" xr:uid="{00000000-0009-0000-0100-000092000000}"/>
  <tableColumns count="2">
    <tableColumn id="1" xr3:uid="{00000000-0010-0000-5300-000001000000}" name="0-4" dataDxfId="58"/>
    <tableColumn id="2" xr3:uid="{00000000-0010-0000-5300-000002000000}" name="Columna1" dataDxfId="57"/>
  </tableColumns>
  <tableStyleInfo name="TableStyleMedium2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00000000-000C-0000-FFFF-FFFF54000000}" name="Tabla110" displayName="Tabla110" ref="B22:C23" totalsRowShown="0" headerRowDxfId="56" dataDxfId="55">
  <autoFilter ref="B22:C23" xr:uid="{00000000-0009-0000-0100-000093000000}"/>
  <tableColumns count="2">
    <tableColumn id="1" xr3:uid="{00000000-0010-0000-5400-000001000000}" name="0-8" dataDxfId="54"/>
    <tableColumn id="2" xr3:uid="{00000000-0010-0000-5400-000002000000}" name="Columna1" dataDxfId="53"/>
  </tableColumns>
  <tableStyleInfo name="TableStyleMedium2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00000000-000C-0000-FFFF-FFFF55000000}" name="Tabla113" displayName="Tabla113" ref="B28:C29" totalsRowShown="0" headerRowDxfId="52" dataDxfId="51">
  <autoFilter ref="B28:C29" xr:uid="{00000000-0009-0000-0100-000094000000}"/>
  <tableColumns count="2">
    <tableColumn id="1" xr3:uid="{00000000-0010-0000-5500-000001000000}" name="0-10" dataDxfId="50"/>
    <tableColumn id="2" xr3:uid="{00000000-0010-0000-5500-000002000000}" name="Columna1" dataDxfId="49"/>
  </tableColumns>
  <tableStyleInfo name="TableStyleMedium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00000000-000C-0000-FFFF-FFFF56000000}" name="Tabla114" displayName="Tabla114" ref="B31:C32" totalsRowShown="0" headerRowDxfId="48" dataDxfId="47">
  <autoFilter ref="B31:C32" xr:uid="{00000000-0009-0000-0100-000095000000}"/>
  <tableColumns count="2">
    <tableColumn id="1" xr3:uid="{00000000-0010-0000-5600-000001000000}" name="0-11" dataDxfId="46"/>
    <tableColumn id="2" xr3:uid="{00000000-0010-0000-5600-000002000000}" name="Columna1" dataDxfId="45"/>
  </tableColumns>
  <tableStyleInfo name="TableStyleMedium2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00000000-000C-0000-FFFF-FFFF57000000}" name="Tabla116" displayName="Tabla116" ref="B37:C38" totalsRowShown="0" headerRowDxfId="44" dataDxfId="43">
  <autoFilter ref="B37:C38" xr:uid="{00000000-0009-0000-0100-000096000000}"/>
  <tableColumns count="2">
    <tableColumn id="1" xr3:uid="{00000000-0010-0000-5700-000001000000}" name="0-13" dataDxfId="42"/>
    <tableColumn id="2" xr3:uid="{00000000-0010-0000-5700-000002000000}" name="Columna1" dataDxfId="41"/>
  </tableColumns>
  <tableStyleInfo name="TableStyleMedium2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00000000-000C-0000-FFFF-FFFF58000000}" name="Tabla119" displayName="Tabla119" ref="B46:C47" totalsRowShown="0" headerRowDxfId="40" dataDxfId="39">
  <autoFilter ref="B46:C47" xr:uid="{00000000-0009-0000-0100-000097000000}"/>
  <tableColumns count="2">
    <tableColumn id="1" xr3:uid="{00000000-0010-0000-5800-000001000000}" name="0-16" dataDxfId="38"/>
    <tableColumn id="2" xr3:uid="{00000000-0010-0000-5800-000002000000}" name="Columna1" dataDxfId="37"/>
  </tableColumns>
  <tableStyleInfo name="TableStyleMedium2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00000000-000C-0000-FFFF-FFFF59000000}" name="Tabla123" displayName="Tabla123" ref="B58:C59" totalsRowShown="0" headerRowDxfId="36" dataDxfId="35">
  <autoFilter ref="B58:C59" xr:uid="{00000000-0009-0000-0100-000098000000}"/>
  <tableColumns count="2">
    <tableColumn id="1" xr3:uid="{00000000-0010-0000-5900-000001000000}" name="0-20" dataDxfId="34"/>
    <tableColumn id="2" xr3:uid="{00000000-0010-0000-5900-000002000000}" name="Columna1" dataDxfId="33"/>
  </tableColumns>
  <tableStyleInfo name="TableStyleMedium2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00000000-000C-0000-FFFF-FFFF5A000000}" name="Tabla107" displayName="Tabla107" ref="B13:C14" totalsRowShown="0" headerRowDxfId="32" dataDxfId="31">
  <autoFilter ref="B13:C14" xr:uid="{00000000-0009-0000-0100-000099000000}"/>
  <tableColumns count="2">
    <tableColumn id="1" xr3:uid="{00000000-0010-0000-5A00-000001000000}" name="0-5" dataDxfId="30"/>
    <tableColumn id="2" xr3:uid="{00000000-0010-0000-5A00-000002000000}" name="Columna1" dataDxfId="29"/>
  </tableColumns>
  <tableStyleInfo name="TableStyleMedium2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00000000-000C-0000-FFFF-FFFF5B000000}" name="Tabla124" displayName="Tabla124" ref="B61:C62" totalsRowShown="0" headerRowDxfId="28" dataDxfId="27">
  <autoFilter ref="B61:C62" xr:uid="{00000000-0009-0000-0100-00009B000000}"/>
  <tableColumns count="2">
    <tableColumn id="1" xr3:uid="{00000000-0010-0000-5B00-000001000000}" name="Columna2" dataDxfId="26"/>
    <tableColumn id="2" xr3:uid="{00000000-0010-0000-5B00-000002000000}" name="Columna1" dataDxfId="25"/>
  </tableColumns>
  <tableStyleInfo name="TableStyleMedium2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00000000-000C-0000-FFFF-FFFF5C000000}" name="Tabla125" displayName="Tabla125" ref="B64:C65" totalsRowShown="0" headerRowDxfId="24" dataDxfId="23">
  <autoFilter ref="B64:C65" xr:uid="{00000000-0009-0000-0100-00009C000000}"/>
  <tableColumns count="2">
    <tableColumn id="1" xr3:uid="{00000000-0010-0000-5C00-000001000000}" name="Columna2" dataDxfId="22"/>
    <tableColumn id="2" xr3:uid="{00000000-0010-0000-5C00-000002000000}" name="Columna1" dataDxfId="21"/>
  </tableColumns>
  <tableStyleInfo name="TableStyleMedium2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00000000-000C-0000-FFFF-FFFF5D000000}" name="Tabla126" displayName="Tabla126" ref="B67:C68" totalsRowShown="0" headerRowDxfId="20" dataDxfId="19">
  <autoFilter ref="B67:C68" xr:uid="{00000000-0009-0000-0100-00009D000000}"/>
  <tableColumns count="2">
    <tableColumn id="1" xr3:uid="{00000000-0010-0000-5D00-000001000000}" name="Columna2" dataDxfId="18"/>
    <tableColumn id="2" xr3:uid="{00000000-0010-0000-5D00-000002000000}" name="Columna1" dataDxfId="17"/>
  </tableColumns>
  <tableStyleInfo name="TableStyleMedium2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00000000-000C-0000-FFFF-FFFF5E000000}" name="Tabla127" displayName="Tabla127" ref="B70:C71" totalsRowShown="0" headerRowDxfId="16" dataDxfId="15">
  <autoFilter ref="B70:C71" xr:uid="{00000000-0009-0000-0100-00009E000000}"/>
  <tableColumns count="2">
    <tableColumn id="1" xr3:uid="{00000000-0010-0000-5E00-000001000000}" name="Columna2" dataDxfId="14"/>
    <tableColumn id="2" xr3:uid="{00000000-0010-0000-5E00-000002000000}" name="Columna1" dataDxfId="13"/>
  </tableColumns>
  <tableStyleInfo name="TableStyleMedium2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00000000-000C-0000-FFFF-FFFF5F000000}" name="Tabla128" displayName="Tabla128" ref="B73:C74" totalsRowShown="0" headerRowDxfId="12" dataDxfId="11">
  <autoFilter ref="B73:C74" xr:uid="{00000000-0009-0000-0100-00009F000000}"/>
  <tableColumns count="2">
    <tableColumn id="1" xr3:uid="{00000000-0010-0000-5F00-000001000000}" name="Columna2" dataDxfId="10"/>
    <tableColumn id="2" xr3:uid="{00000000-0010-0000-5F00-000002000000}" name="Columna1" dataDxfId="9"/>
  </tableColumns>
  <tableStyleInfo name="TableStyleMedium2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00000000-000C-0000-FFFF-FFFF60000000}" name="Tabla129" displayName="Tabla129" ref="B76:C77" totalsRowShown="0" headerRowDxfId="8" dataDxfId="7">
  <autoFilter ref="B76:C77" xr:uid="{00000000-0009-0000-0100-0000A0000000}"/>
  <tableColumns count="2">
    <tableColumn id="1" xr3:uid="{00000000-0010-0000-6000-000001000000}" name="Columna2" dataDxfId="6"/>
    <tableColumn id="2" xr3:uid="{00000000-0010-0000-6000-000002000000}" name="Columna1" dataDxfId="5"/>
  </tableColumns>
  <tableStyleInfo name="TableStyleMedium2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00000000-000C-0000-FFFF-FFFF61000000}" name="Tabla130" displayName="Tabla130" ref="B79:C80" totalsRowShown="0" headerRowDxfId="4" dataDxfId="3">
  <autoFilter ref="B79:C80" xr:uid="{00000000-0009-0000-0100-0000A1000000}"/>
  <tableColumns count="2">
    <tableColumn id="1" xr3:uid="{00000000-0010-0000-6100-000001000000}" name="Columna2" dataDxfId="2"/>
    <tableColumn id="2" xr3:uid="{00000000-0010-0000-6100-000002000000}" name="Columna1" dataDxfId="1"/>
  </tableColumns>
  <tableStyleInfo name="TableStyleMedium2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62000000}" name="Tabla99" displayName="Tabla99" ref="A1:L101" totalsRowShown="0">
  <autoFilter ref="A1:L101" xr:uid="{00000000-0009-0000-0100-000006000000}"/>
  <tableColumns count="12">
    <tableColumn id="1" xr3:uid="{00000000-0010-0000-6200-000001000000}" name=" FRA"/>
    <tableColumn id="2" xr3:uid="{00000000-0010-0000-6200-000002000000}" name="EMPRESA"/>
    <tableColumn id="3" xr3:uid="{00000000-0010-0000-6200-000003000000}" name="PROYECTO"/>
    <tableColumn id="4" xr3:uid="{00000000-0010-0000-6200-000004000000}" name="FECHA"/>
    <tableColumn id="5" xr3:uid="{00000000-0010-0000-6200-000005000000}" name="MES"/>
    <tableColumn id="6" xr3:uid="{00000000-0010-0000-6200-000006000000}" name="FECHA I"/>
    <tableColumn id="7" xr3:uid="{00000000-0010-0000-6200-000007000000}" name="FECHA F"/>
    <tableColumn id="8" xr3:uid="{00000000-0010-0000-6200-000008000000}" name="OBRA" dataDxfId="0"/>
    <tableColumn id="9" xr3:uid="{00000000-0010-0000-6200-000009000000}" name="SUBT2"/>
    <tableColumn id="10" xr3:uid="{00000000-0010-0000-6200-00000A000000}" name="IVA"/>
    <tableColumn id="11" xr3:uid="{00000000-0010-0000-6200-00000B000000}" name="TOTAL"/>
    <tableColumn id="12" xr3:uid="{00000000-0010-0000-6200-00000C000000}" name="Colum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table" Target="../tables/table26.xml"/><Relationship Id="rId21" Type="http://schemas.openxmlformats.org/officeDocument/2006/relationships/table" Target="../tables/table21.xml"/><Relationship Id="rId42" Type="http://schemas.openxmlformats.org/officeDocument/2006/relationships/table" Target="../tables/table42.xml"/><Relationship Id="rId47" Type="http://schemas.openxmlformats.org/officeDocument/2006/relationships/table" Target="../tables/table47.xml"/><Relationship Id="rId63" Type="http://schemas.openxmlformats.org/officeDocument/2006/relationships/table" Target="../tables/table63.xml"/><Relationship Id="rId68" Type="http://schemas.openxmlformats.org/officeDocument/2006/relationships/table" Target="../tables/table68.xml"/><Relationship Id="rId7" Type="http://schemas.openxmlformats.org/officeDocument/2006/relationships/table" Target="../tables/table7.xml"/><Relationship Id="rId2" Type="http://schemas.openxmlformats.org/officeDocument/2006/relationships/drawing" Target="../drawings/drawing3.xml"/><Relationship Id="rId16" Type="http://schemas.openxmlformats.org/officeDocument/2006/relationships/table" Target="../tables/table16.xml"/><Relationship Id="rId29" Type="http://schemas.openxmlformats.org/officeDocument/2006/relationships/table" Target="../tables/table29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32" Type="http://schemas.openxmlformats.org/officeDocument/2006/relationships/table" Target="../tables/table32.xml"/><Relationship Id="rId37" Type="http://schemas.openxmlformats.org/officeDocument/2006/relationships/table" Target="../tables/table37.xml"/><Relationship Id="rId40" Type="http://schemas.openxmlformats.org/officeDocument/2006/relationships/table" Target="../tables/table40.xml"/><Relationship Id="rId45" Type="http://schemas.openxmlformats.org/officeDocument/2006/relationships/table" Target="../tables/table45.xml"/><Relationship Id="rId53" Type="http://schemas.openxmlformats.org/officeDocument/2006/relationships/table" Target="../tables/table53.xml"/><Relationship Id="rId58" Type="http://schemas.openxmlformats.org/officeDocument/2006/relationships/table" Target="../tables/table58.xml"/><Relationship Id="rId66" Type="http://schemas.openxmlformats.org/officeDocument/2006/relationships/table" Target="../tables/table66.xml"/><Relationship Id="rId5" Type="http://schemas.openxmlformats.org/officeDocument/2006/relationships/table" Target="../tables/table5.xml"/><Relationship Id="rId61" Type="http://schemas.openxmlformats.org/officeDocument/2006/relationships/table" Target="../tables/table61.xml"/><Relationship Id="rId19" Type="http://schemas.openxmlformats.org/officeDocument/2006/relationships/table" Target="../tables/table1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Relationship Id="rId30" Type="http://schemas.openxmlformats.org/officeDocument/2006/relationships/table" Target="../tables/table30.xml"/><Relationship Id="rId35" Type="http://schemas.openxmlformats.org/officeDocument/2006/relationships/table" Target="../tables/table35.xml"/><Relationship Id="rId43" Type="http://schemas.openxmlformats.org/officeDocument/2006/relationships/table" Target="../tables/table43.xml"/><Relationship Id="rId48" Type="http://schemas.openxmlformats.org/officeDocument/2006/relationships/table" Target="../tables/table48.xml"/><Relationship Id="rId56" Type="http://schemas.openxmlformats.org/officeDocument/2006/relationships/table" Target="../tables/table56.xml"/><Relationship Id="rId64" Type="http://schemas.openxmlformats.org/officeDocument/2006/relationships/table" Target="../tables/table64.xml"/><Relationship Id="rId69" Type="http://schemas.openxmlformats.org/officeDocument/2006/relationships/table" Target="../tables/table69.xml"/><Relationship Id="rId8" Type="http://schemas.openxmlformats.org/officeDocument/2006/relationships/table" Target="../tables/table8.xml"/><Relationship Id="rId51" Type="http://schemas.openxmlformats.org/officeDocument/2006/relationships/table" Target="../tables/table51.xml"/><Relationship Id="rId3" Type="http://schemas.openxmlformats.org/officeDocument/2006/relationships/table" Target="../tables/table3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33" Type="http://schemas.openxmlformats.org/officeDocument/2006/relationships/table" Target="../tables/table33.xml"/><Relationship Id="rId38" Type="http://schemas.openxmlformats.org/officeDocument/2006/relationships/table" Target="../tables/table38.xml"/><Relationship Id="rId46" Type="http://schemas.openxmlformats.org/officeDocument/2006/relationships/table" Target="../tables/table46.xml"/><Relationship Id="rId59" Type="http://schemas.openxmlformats.org/officeDocument/2006/relationships/table" Target="../tables/table59.xml"/><Relationship Id="rId67" Type="http://schemas.openxmlformats.org/officeDocument/2006/relationships/table" Target="../tables/table67.xml"/><Relationship Id="rId20" Type="http://schemas.openxmlformats.org/officeDocument/2006/relationships/table" Target="../tables/table20.xml"/><Relationship Id="rId41" Type="http://schemas.openxmlformats.org/officeDocument/2006/relationships/table" Target="../tables/table41.xml"/><Relationship Id="rId54" Type="http://schemas.openxmlformats.org/officeDocument/2006/relationships/table" Target="../tables/table54.xml"/><Relationship Id="rId62" Type="http://schemas.openxmlformats.org/officeDocument/2006/relationships/table" Target="../tables/table62.xml"/><Relationship Id="rId70" Type="http://schemas.openxmlformats.org/officeDocument/2006/relationships/table" Target="../tables/table70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28" Type="http://schemas.openxmlformats.org/officeDocument/2006/relationships/table" Target="../tables/table28.xml"/><Relationship Id="rId36" Type="http://schemas.openxmlformats.org/officeDocument/2006/relationships/table" Target="../tables/table36.xml"/><Relationship Id="rId49" Type="http://schemas.openxmlformats.org/officeDocument/2006/relationships/table" Target="../tables/table49.xml"/><Relationship Id="rId57" Type="http://schemas.openxmlformats.org/officeDocument/2006/relationships/table" Target="../tables/table57.xml"/><Relationship Id="rId10" Type="http://schemas.openxmlformats.org/officeDocument/2006/relationships/table" Target="../tables/table10.xml"/><Relationship Id="rId31" Type="http://schemas.openxmlformats.org/officeDocument/2006/relationships/table" Target="../tables/table31.xml"/><Relationship Id="rId44" Type="http://schemas.openxmlformats.org/officeDocument/2006/relationships/table" Target="../tables/table44.xml"/><Relationship Id="rId52" Type="http://schemas.openxmlformats.org/officeDocument/2006/relationships/table" Target="../tables/table52.xml"/><Relationship Id="rId60" Type="http://schemas.openxmlformats.org/officeDocument/2006/relationships/table" Target="../tables/table60.xml"/><Relationship Id="rId65" Type="http://schemas.openxmlformats.org/officeDocument/2006/relationships/table" Target="../tables/table6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9" Type="http://schemas.openxmlformats.org/officeDocument/2006/relationships/table" Target="../tables/table39.xml"/><Relationship Id="rId34" Type="http://schemas.openxmlformats.org/officeDocument/2006/relationships/table" Target="../tables/table34.xml"/><Relationship Id="rId50" Type="http://schemas.openxmlformats.org/officeDocument/2006/relationships/table" Target="../tables/table50.xml"/><Relationship Id="rId55" Type="http://schemas.openxmlformats.org/officeDocument/2006/relationships/table" Target="../tables/table5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8.xml"/><Relationship Id="rId13" Type="http://schemas.openxmlformats.org/officeDocument/2006/relationships/table" Target="../tables/table83.xml"/><Relationship Id="rId18" Type="http://schemas.openxmlformats.org/officeDocument/2006/relationships/table" Target="../tables/table88.xml"/><Relationship Id="rId26" Type="http://schemas.openxmlformats.org/officeDocument/2006/relationships/table" Target="../tables/table96.xml"/><Relationship Id="rId3" Type="http://schemas.openxmlformats.org/officeDocument/2006/relationships/table" Target="../tables/table73.xml"/><Relationship Id="rId21" Type="http://schemas.openxmlformats.org/officeDocument/2006/relationships/table" Target="../tables/table91.xml"/><Relationship Id="rId7" Type="http://schemas.openxmlformats.org/officeDocument/2006/relationships/table" Target="../tables/table77.xml"/><Relationship Id="rId12" Type="http://schemas.openxmlformats.org/officeDocument/2006/relationships/table" Target="../tables/table82.xml"/><Relationship Id="rId17" Type="http://schemas.openxmlformats.org/officeDocument/2006/relationships/table" Target="../tables/table87.xml"/><Relationship Id="rId25" Type="http://schemas.openxmlformats.org/officeDocument/2006/relationships/table" Target="../tables/table95.xml"/><Relationship Id="rId2" Type="http://schemas.openxmlformats.org/officeDocument/2006/relationships/table" Target="../tables/table72.xml"/><Relationship Id="rId16" Type="http://schemas.openxmlformats.org/officeDocument/2006/relationships/table" Target="../tables/table86.xml"/><Relationship Id="rId20" Type="http://schemas.openxmlformats.org/officeDocument/2006/relationships/table" Target="../tables/table90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6.xml"/><Relationship Id="rId11" Type="http://schemas.openxmlformats.org/officeDocument/2006/relationships/table" Target="../tables/table81.xml"/><Relationship Id="rId24" Type="http://schemas.openxmlformats.org/officeDocument/2006/relationships/table" Target="../tables/table94.xml"/><Relationship Id="rId5" Type="http://schemas.openxmlformats.org/officeDocument/2006/relationships/table" Target="../tables/table75.xml"/><Relationship Id="rId15" Type="http://schemas.openxmlformats.org/officeDocument/2006/relationships/table" Target="../tables/table85.xml"/><Relationship Id="rId23" Type="http://schemas.openxmlformats.org/officeDocument/2006/relationships/table" Target="../tables/table93.xml"/><Relationship Id="rId28" Type="http://schemas.openxmlformats.org/officeDocument/2006/relationships/table" Target="../tables/table98.xml"/><Relationship Id="rId10" Type="http://schemas.openxmlformats.org/officeDocument/2006/relationships/table" Target="../tables/table80.xml"/><Relationship Id="rId19" Type="http://schemas.openxmlformats.org/officeDocument/2006/relationships/table" Target="../tables/table89.xml"/><Relationship Id="rId4" Type="http://schemas.openxmlformats.org/officeDocument/2006/relationships/table" Target="../tables/table74.xml"/><Relationship Id="rId9" Type="http://schemas.openxmlformats.org/officeDocument/2006/relationships/table" Target="../tables/table79.xml"/><Relationship Id="rId14" Type="http://schemas.openxmlformats.org/officeDocument/2006/relationships/table" Target="../tables/table84.xml"/><Relationship Id="rId22" Type="http://schemas.openxmlformats.org/officeDocument/2006/relationships/table" Target="../tables/table92.xml"/><Relationship Id="rId27" Type="http://schemas.openxmlformats.org/officeDocument/2006/relationships/table" Target="../tables/table9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BF394"/>
  <sheetViews>
    <sheetView showGridLines="0" topLeftCell="B25" workbookViewId="0">
      <selection activeCell="A4" sqref="A4"/>
    </sheetView>
  </sheetViews>
  <sheetFormatPr baseColWidth="10" defaultColWidth="11.42578125" defaultRowHeight="15" x14ac:dyDescent="0.25"/>
  <cols>
    <col min="2" max="2" width="55.85546875" customWidth="1"/>
    <col min="3" max="3" width="31.85546875" style="2" customWidth="1"/>
    <col min="4" max="42" width="20.7109375" customWidth="1"/>
  </cols>
  <sheetData>
    <row r="1" spans="1:53" ht="57" customHeight="1" x14ac:dyDescent="0.3">
      <c r="A1" s="33"/>
      <c r="B1" s="33"/>
      <c r="C1" s="34" t="s">
        <v>884</v>
      </c>
      <c r="D1" s="33"/>
    </row>
    <row r="2" spans="1:53" ht="12.75" customHeight="1" x14ac:dyDescent="0.3">
      <c r="B2" s="33"/>
      <c r="C2" s="33"/>
      <c r="D2" s="33"/>
    </row>
    <row r="3" spans="1:53" ht="15.75" thickBot="1" x14ac:dyDescent="0.3">
      <c r="A3" t="str">
        <f>A4</f>
        <v>ÍTEM</v>
      </c>
      <c r="B3" t="str">
        <f t="shared" ref="B3:AZ3" si="0">B4</f>
        <v>DESCRIPCIÓN</v>
      </c>
      <c r="C3" t="str">
        <f t="shared" si="0"/>
        <v>NORMA</v>
      </c>
      <c r="D3" t="str">
        <f t="shared" si="0"/>
        <v>PRECIO LISTA</v>
      </c>
      <c r="E3" t="str">
        <f t="shared" si="0"/>
        <v xml:space="preserve">DESCUENTO </v>
      </c>
      <c r="F3" t="str">
        <f t="shared" si="0"/>
        <v>1-1</v>
      </c>
      <c r="G3" t="str">
        <f t="shared" si="0"/>
        <v>1-2</v>
      </c>
      <c r="H3">
        <f t="shared" si="0"/>
        <v>0</v>
      </c>
      <c r="I3" t="str">
        <f t="shared" si="0"/>
        <v>1-4</v>
      </c>
      <c r="J3" t="str">
        <f t="shared" si="0"/>
        <v>1-5</v>
      </c>
      <c r="K3" t="str">
        <f t="shared" si="0"/>
        <v>1-6</v>
      </c>
      <c r="L3" t="str">
        <f t="shared" si="0"/>
        <v>2-2</v>
      </c>
      <c r="M3" t="str">
        <f t="shared" si="0"/>
        <v>3-1</v>
      </c>
      <c r="N3" t="str">
        <f t="shared" si="0"/>
        <v>4-1</v>
      </c>
      <c r="O3" t="str">
        <f t="shared" si="0"/>
        <v>5-1</v>
      </c>
      <c r="P3" t="str">
        <f t="shared" si="0"/>
        <v>0-6</v>
      </c>
      <c r="Q3" t="str">
        <f t="shared" si="0"/>
        <v>0-2</v>
      </c>
      <c r="R3" t="str">
        <f t="shared" si="0"/>
        <v>0-7</v>
      </c>
      <c r="S3" t="str">
        <f t="shared" si="0"/>
        <v>0-8</v>
      </c>
      <c r="T3" t="str">
        <f t="shared" si="0"/>
        <v>0-9</v>
      </c>
      <c r="U3" t="str">
        <f t="shared" si="0"/>
        <v>0-10</v>
      </c>
      <c r="V3" t="str">
        <f t="shared" si="0"/>
        <v>0-11</v>
      </c>
      <c r="W3" t="str">
        <f t="shared" si="0"/>
        <v>1-7</v>
      </c>
      <c r="X3" t="str">
        <f t="shared" si="0"/>
        <v>1-8</v>
      </c>
      <c r="Y3" t="str">
        <f t="shared" si="0"/>
        <v>13-1</v>
      </c>
      <c r="Z3" t="str">
        <f t="shared" si="0"/>
        <v>1-10</v>
      </c>
      <c r="AA3" t="str">
        <f t="shared" si="0"/>
        <v>10-3</v>
      </c>
      <c r="AB3" t="str">
        <f t="shared" si="0"/>
        <v>10-1</v>
      </c>
      <c r="AC3" t="str">
        <f t="shared" si="0"/>
        <v>10-2</v>
      </c>
      <c r="AD3" t="str">
        <f t="shared" si="0"/>
        <v>12-1</v>
      </c>
      <c r="AE3" t="str">
        <f t="shared" si="0"/>
        <v>16-1</v>
      </c>
      <c r="AF3" t="str">
        <f t="shared" si="0"/>
        <v>18-2</v>
      </c>
      <c r="AG3" t="str">
        <f t="shared" si="0"/>
        <v>18-3</v>
      </c>
      <c r="AH3" t="str">
        <f t="shared" si="0"/>
        <v>14-1</v>
      </c>
      <c r="AI3" t="str">
        <f t="shared" si="0"/>
        <v>15-1</v>
      </c>
      <c r="AJ3" t="str">
        <f t="shared" si="0"/>
        <v>17-1</v>
      </c>
      <c r="AK3" t="str">
        <f t="shared" si="0"/>
        <v>18-1</v>
      </c>
      <c r="AL3" t="str">
        <f t="shared" si="0"/>
        <v>19-1</v>
      </c>
      <c r="AM3" t="str">
        <f t="shared" si="0"/>
        <v>0-2</v>
      </c>
      <c r="AN3" t="str">
        <f t="shared" si="0"/>
        <v>21-1</v>
      </c>
      <c r="AO3" t="str">
        <f t="shared" si="0"/>
        <v>21-2</v>
      </c>
      <c r="AP3" t="str">
        <f t="shared" si="0"/>
        <v>22-1</v>
      </c>
      <c r="AQ3" t="str">
        <f t="shared" si="0"/>
        <v>23-1</v>
      </c>
      <c r="AR3" t="str">
        <f t="shared" si="0"/>
        <v>25-1</v>
      </c>
      <c r="AS3" t="str">
        <f t="shared" si="0"/>
        <v>26-1</v>
      </c>
      <c r="AT3" t="str">
        <f t="shared" si="0"/>
        <v>26-2</v>
      </c>
      <c r="AU3" t="str">
        <f t="shared" si="0"/>
        <v>27-1</v>
      </c>
      <c r="AV3" t="str">
        <f t="shared" si="0"/>
        <v>28-1</v>
      </c>
      <c r="AW3" t="str">
        <f t="shared" si="0"/>
        <v>29-3</v>
      </c>
      <c r="AX3" t="str">
        <f t="shared" si="0"/>
        <v>30-4</v>
      </c>
      <c r="AY3" t="str">
        <f t="shared" si="0"/>
        <v>1-3</v>
      </c>
      <c r="AZ3">
        <f t="shared" si="0"/>
        <v>0</v>
      </c>
    </row>
    <row r="4" spans="1:53" ht="15.75" thickBot="1" x14ac:dyDescent="0.3">
      <c r="A4" s="3" t="s">
        <v>4</v>
      </c>
      <c r="B4" s="4" t="s">
        <v>5</v>
      </c>
      <c r="C4" s="4" t="s">
        <v>6</v>
      </c>
      <c r="D4" s="4" t="s">
        <v>7</v>
      </c>
      <c r="E4" s="4" t="s">
        <v>789</v>
      </c>
      <c r="F4" s="5" t="s">
        <v>123</v>
      </c>
      <c r="G4" s="5" t="s">
        <v>125</v>
      </c>
      <c r="H4" s="5"/>
      <c r="I4" s="5" t="s">
        <v>130</v>
      </c>
      <c r="J4" s="5" t="s">
        <v>131</v>
      </c>
      <c r="K4" s="5" t="s">
        <v>132</v>
      </c>
      <c r="L4" s="5" t="s">
        <v>138</v>
      </c>
      <c r="M4" s="5" t="s">
        <v>148</v>
      </c>
      <c r="N4" s="5" t="s">
        <v>156</v>
      </c>
      <c r="O4" s="5" t="s">
        <v>170</v>
      </c>
      <c r="P4" s="5" t="s">
        <v>506</v>
      </c>
      <c r="Q4" s="5" t="s">
        <v>502</v>
      </c>
      <c r="R4" s="5" t="s">
        <v>507</v>
      </c>
      <c r="S4" s="5" t="s">
        <v>518</v>
      </c>
      <c r="T4" s="5" t="s">
        <v>521</v>
      </c>
      <c r="U4" s="5" t="s">
        <v>515</v>
      </c>
      <c r="V4" s="5" t="s">
        <v>790</v>
      </c>
      <c r="W4" s="5" t="s">
        <v>133</v>
      </c>
      <c r="X4" s="5" t="s">
        <v>134</v>
      </c>
      <c r="Y4" s="5" t="s">
        <v>11</v>
      </c>
      <c r="Z4" s="5" t="s">
        <v>124</v>
      </c>
      <c r="AA4" s="5" t="s">
        <v>193</v>
      </c>
      <c r="AB4" s="5" t="s">
        <v>191</v>
      </c>
      <c r="AC4" s="5" t="s">
        <v>192</v>
      </c>
      <c r="AD4" s="5" t="s">
        <v>122</v>
      </c>
      <c r="AE4" s="5" t="s">
        <v>237</v>
      </c>
      <c r="AF4" s="6" t="s">
        <v>791</v>
      </c>
      <c r="AG4" s="6" t="s">
        <v>797</v>
      </c>
      <c r="AH4" s="5" t="s">
        <v>12</v>
      </c>
      <c r="AI4" s="5" t="s">
        <v>304</v>
      </c>
      <c r="AJ4" s="6" t="s">
        <v>522</v>
      </c>
      <c r="AK4" s="6" t="s">
        <v>232</v>
      </c>
      <c r="AL4" s="6" t="s">
        <v>231</v>
      </c>
      <c r="AM4" s="6" t="s">
        <v>502</v>
      </c>
      <c r="AN4" s="6" t="s">
        <v>233</v>
      </c>
      <c r="AO4" s="5" t="s">
        <v>254</v>
      </c>
      <c r="AP4" s="6" t="s">
        <v>234</v>
      </c>
      <c r="AQ4" s="5" t="s">
        <v>245</v>
      </c>
      <c r="AR4" s="5" t="s">
        <v>246</v>
      </c>
      <c r="AS4" s="5" t="s">
        <v>247</v>
      </c>
      <c r="AT4" s="5" t="s">
        <v>255</v>
      </c>
      <c r="AU4" s="5" t="s">
        <v>253</v>
      </c>
      <c r="AV4" s="5" t="s">
        <v>373</v>
      </c>
      <c r="AW4" s="5" t="s">
        <v>523</v>
      </c>
      <c r="AX4" s="5" t="s">
        <v>524</v>
      </c>
      <c r="AY4" s="5" t="s">
        <v>126</v>
      </c>
      <c r="AZ4" s="5"/>
      <c r="BA4" s="5" t="s">
        <v>854</v>
      </c>
    </row>
    <row r="5" spans="1:53" x14ac:dyDescent="0.25">
      <c r="A5" s="24" t="s">
        <v>13</v>
      </c>
      <c r="B5" s="7" t="s">
        <v>14</v>
      </c>
      <c r="C5" s="7"/>
      <c r="D5" s="7"/>
      <c r="E5" s="62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</row>
    <row r="6" spans="1:53" x14ac:dyDescent="0.25">
      <c r="A6" s="23" t="s">
        <v>123</v>
      </c>
      <c r="B6" s="10" t="s">
        <v>15</v>
      </c>
      <c r="C6" s="9" t="s">
        <v>269</v>
      </c>
      <c r="D6" s="55">
        <v>4500</v>
      </c>
      <c r="E6" s="55">
        <f>+(D6*$E$5)-D6</f>
        <v>-4500</v>
      </c>
      <c r="F6" s="56">
        <v>5480</v>
      </c>
      <c r="G6" s="56">
        <v>5300</v>
      </c>
      <c r="H6" s="56">
        <v>4500</v>
      </c>
      <c r="I6" s="56">
        <v>4500</v>
      </c>
      <c r="J6" s="56">
        <v>4500</v>
      </c>
      <c r="K6" s="56">
        <v>4500</v>
      </c>
      <c r="L6" s="56">
        <v>5500</v>
      </c>
      <c r="M6" s="56">
        <v>6500</v>
      </c>
      <c r="N6" s="56">
        <v>5500</v>
      </c>
      <c r="O6" s="56">
        <v>4500</v>
      </c>
      <c r="P6" s="56">
        <v>4500</v>
      </c>
      <c r="Q6" s="56">
        <v>5500</v>
      </c>
      <c r="R6" s="56">
        <v>5800</v>
      </c>
      <c r="S6" s="56">
        <v>5200</v>
      </c>
      <c r="T6" s="56">
        <v>5200</v>
      </c>
      <c r="U6" s="56">
        <v>5200</v>
      </c>
      <c r="V6" s="56">
        <v>5800</v>
      </c>
      <c r="W6" s="56"/>
      <c r="X6" s="56">
        <v>4500</v>
      </c>
      <c r="Y6" s="56">
        <v>6300</v>
      </c>
      <c r="Z6" s="56">
        <v>4500</v>
      </c>
      <c r="AA6" s="56">
        <v>5800</v>
      </c>
      <c r="AB6" s="56">
        <v>5800</v>
      </c>
      <c r="AC6" s="56">
        <v>5800</v>
      </c>
      <c r="AD6" s="56">
        <v>5800</v>
      </c>
      <c r="AE6" s="56"/>
      <c r="AF6" s="56">
        <v>4500</v>
      </c>
      <c r="AG6" s="56">
        <v>4800</v>
      </c>
      <c r="AH6" s="56">
        <v>5800</v>
      </c>
      <c r="AI6" s="56">
        <v>5800</v>
      </c>
      <c r="AJ6" s="56">
        <v>6431</v>
      </c>
      <c r="AK6" s="56">
        <v>4500</v>
      </c>
      <c r="AL6" s="56"/>
      <c r="AM6" s="56">
        <v>5300</v>
      </c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>
        <v>6000</v>
      </c>
      <c r="AZ6" s="56"/>
      <c r="BA6" s="56">
        <v>5480</v>
      </c>
    </row>
    <row r="7" spans="1:53" x14ac:dyDescent="0.25">
      <c r="A7" s="23" t="s">
        <v>125</v>
      </c>
      <c r="B7" s="10" t="s">
        <v>413</v>
      </c>
      <c r="C7" s="9" t="s">
        <v>268</v>
      </c>
      <c r="D7" s="55">
        <v>420000</v>
      </c>
      <c r="E7" s="55">
        <f t="shared" ref="E7:E70" si="1">+(D7*$E$5)-D7</f>
        <v>-420000</v>
      </c>
      <c r="F7" s="56"/>
      <c r="G7" s="56"/>
      <c r="H7" s="56"/>
      <c r="I7" s="56"/>
      <c r="J7" s="56"/>
      <c r="K7" s="56"/>
      <c r="L7" s="56">
        <v>350000</v>
      </c>
      <c r="M7" s="56">
        <v>520000</v>
      </c>
      <c r="N7" s="56"/>
      <c r="O7" s="56"/>
      <c r="P7" s="56"/>
      <c r="Q7" s="56">
        <v>350000</v>
      </c>
      <c r="R7" s="56"/>
      <c r="S7" s="56">
        <v>410000</v>
      </c>
      <c r="T7" s="56">
        <v>410000</v>
      </c>
      <c r="U7" s="56">
        <v>410000</v>
      </c>
      <c r="V7" s="56"/>
      <c r="W7" s="56"/>
      <c r="X7" s="56"/>
      <c r="Y7" s="56"/>
      <c r="Z7" s="56"/>
      <c r="AA7" s="56">
        <v>420000</v>
      </c>
      <c r="AB7" s="56">
        <v>420000</v>
      </c>
      <c r="AC7" s="56">
        <v>420000</v>
      </c>
      <c r="AD7" s="56"/>
      <c r="AE7" s="56"/>
      <c r="AF7" s="56"/>
      <c r="AG7" s="56"/>
      <c r="AH7" s="56">
        <v>420000</v>
      </c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>
        <v>0</v>
      </c>
    </row>
    <row r="8" spans="1:53" x14ac:dyDescent="0.25">
      <c r="A8" s="23" t="s">
        <v>412</v>
      </c>
      <c r="B8" s="10" t="s">
        <v>414</v>
      </c>
      <c r="C8" s="9"/>
      <c r="D8" s="55">
        <v>350000</v>
      </c>
      <c r="E8" s="55">
        <f t="shared" si="1"/>
        <v>-350000</v>
      </c>
      <c r="F8" s="56"/>
      <c r="G8" s="56"/>
      <c r="H8" s="56"/>
      <c r="I8" s="56"/>
      <c r="J8" s="56"/>
      <c r="K8" s="56"/>
      <c r="L8" s="56"/>
      <c r="M8" s="56">
        <v>440000</v>
      </c>
      <c r="N8" s="56"/>
      <c r="O8" s="56"/>
      <c r="P8" s="56"/>
      <c r="Q8" s="56"/>
      <c r="R8" s="56"/>
      <c r="S8" s="56">
        <v>290000</v>
      </c>
      <c r="T8" s="56">
        <v>290000</v>
      </c>
      <c r="U8" s="56">
        <v>290000</v>
      </c>
      <c r="V8" s="56"/>
      <c r="W8" s="56"/>
      <c r="X8" s="56"/>
      <c r="Y8" s="56"/>
      <c r="Z8" s="56"/>
      <c r="AA8" s="56">
        <v>350000</v>
      </c>
      <c r="AB8" s="56">
        <v>350000</v>
      </c>
      <c r="AC8" s="56">
        <v>350000</v>
      </c>
      <c r="AD8" s="56"/>
      <c r="AE8" s="56"/>
      <c r="AF8" s="56"/>
      <c r="AG8" s="56"/>
      <c r="AH8" s="56">
        <v>350000</v>
      </c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>
        <v>0</v>
      </c>
    </row>
    <row r="9" spans="1:53" x14ac:dyDescent="0.25">
      <c r="A9" s="23" t="s">
        <v>462</v>
      </c>
      <c r="B9" s="10" t="s">
        <v>463</v>
      </c>
      <c r="C9" s="9"/>
      <c r="D9" s="55">
        <v>390000</v>
      </c>
      <c r="E9" s="55">
        <f t="shared" si="1"/>
        <v>-390000</v>
      </c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>
        <v>0</v>
      </c>
    </row>
    <row r="10" spans="1:53" x14ac:dyDescent="0.25">
      <c r="A10" s="23" t="s">
        <v>126</v>
      </c>
      <c r="B10" s="10" t="s">
        <v>16</v>
      </c>
      <c r="C10" s="9" t="s">
        <v>270</v>
      </c>
      <c r="D10" s="55">
        <f>285000</f>
        <v>285000</v>
      </c>
      <c r="E10" s="55">
        <f t="shared" si="1"/>
        <v>-285000</v>
      </c>
      <c r="F10" s="56"/>
      <c r="G10" s="56"/>
      <c r="H10" s="56"/>
      <c r="I10" s="56"/>
      <c r="J10" s="56"/>
      <c r="K10" s="56"/>
      <c r="L10" s="56"/>
      <c r="M10" s="56"/>
      <c r="N10" s="56"/>
      <c r="O10" s="17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>
        <v>0</v>
      </c>
    </row>
    <row r="11" spans="1:53" ht="25.5" x14ac:dyDescent="0.25">
      <c r="A11" s="23" t="s">
        <v>127</v>
      </c>
      <c r="B11" s="10" t="s">
        <v>465</v>
      </c>
      <c r="C11" s="9" t="s">
        <v>270</v>
      </c>
      <c r="D11" s="55">
        <v>360000</v>
      </c>
      <c r="E11" s="55">
        <f t="shared" si="1"/>
        <v>-360000</v>
      </c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>
        <v>340000</v>
      </c>
      <c r="Q11" s="56"/>
      <c r="R11" s="56"/>
      <c r="S11" s="56">
        <v>340000</v>
      </c>
      <c r="T11" s="56">
        <v>340000</v>
      </c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  <c r="AF11" s="56"/>
      <c r="AG11" s="56"/>
      <c r="AH11" s="56"/>
      <c r="AI11" s="56"/>
      <c r="AJ11" s="56">
        <v>265000</v>
      </c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>
        <v>0</v>
      </c>
    </row>
    <row r="12" spans="1:53" ht="25.5" x14ac:dyDescent="0.25">
      <c r="A12" s="23" t="s">
        <v>128</v>
      </c>
      <c r="B12" s="10" t="s">
        <v>420</v>
      </c>
      <c r="C12" s="9" t="s">
        <v>270</v>
      </c>
      <c r="D12" s="55">
        <v>210000</v>
      </c>
      <c r="E12" s="55">
        <f t="shared" si="1"/>
        <v>-210000</v>
      </c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>
        <v>0</v>
      </c>
    </row>
    <row r="13" spans="1:53" x14ac:dyDescent="0.25">
      <c r="A13" s="23" t="s">
        <v>129</v>
      </c>
      <c r="B13" s="10" t="s">
        <v>466</v>
      </c>
      <c r="C13" s="9" t="s">
        <v>270</v>
      </c>
      <c r="D13" s="55">
        <v>210000</v>
      </c>
      <c r="E13" s="55">
        <f t="shared" si="1"/>
        <v>-210000</v>
      </c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>
        <v>0</v>
      </c>
    </row>
    <row r="14" spans="1:53" x14ac:dyDescent="0.25">
      <c r="A14" s="23" t="s">
        <v>238</v>
      </c>
      <c r="B14" s="10" t="s">
        <v>239</v>
      </c>
      <c r="C14" s="9" t="s">
        <v>270</v>
      </c>
      <c r="D14" s="55">
        <f>205000-40000</f>
        <v>165000</v>
      </c>
      <c r="E14" s="55">
        <f t="shared" si="1"/>
        <v>-165000</v>
      </c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>
        <v>0</v>
      </c>
    </row>
    <row r="15" spans="1:53" x14ac:dyDescent="0.25">
      <c r="A15" s="23" t="s">
        <v>130</v>
      </c>
      <c r="B15" s="10" t="s">
        <v>17</v>
      </c>
      <c r="C15" s="9" t="s">
        <v>270</v>
      </c>
      <c r="D15" s="55">
        <v>30000</v>
      </c>
      <c r="E15" s="55">
        <f t="shared" si="1"/>
        <v>-30000</v>
      </c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>
        <v>0</v>
      </c>
    </row>
    <row r="16" spans="1:53" x14ac:dyDescent="0.25">
      <c r="A16" s="23" t="s">
        <v>131</v>
      </c>
      <c r="B16" s="10" t="s">
        <v>18</v>
      </c>
      <c r="C16" s="9" t="s">
        <v>270</v>
      </c>
      <c r="D16" s="55">
        <v>40000</v>
      </c>
      <c r="E16" s="55">
        <f t="shared" si="1"/>
        <v>-40000</v>
      </c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>
        <v>0</v>
      </c>
    </row>
    <row r="17" spans="1:53" x14ac:dyDescent="0.25">
      <c r="A17" s="23" t="s">
        <v>132</v>
      </c>
      <c r="B17" s="10" t="s">
        <v>19</v>
      </c>
      <c r="C17" s="9"/>
      <c r="D17" s="55">
        <v>100000</v>
      </c>
      <c r="E17" s="55">
        <f t="shared" si="1"/>
        <v>-100000</v>
      </c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>
        <v>0</v>
      </c>
    </row>
    <row r="18" spans="1:53" x14ac:dyDescent="0.25">
      <c r="A18" s="23" t="s">
        <v>133</v>
      </c>
      <c r="B18" s="10" t="s">
        <v>20</v>
      </c>
      <c r="C18" s="9"/>
      <c r="D18" s="55">
        <v>390000</v>
      </c>
      <c r="E18" s="55">
        <f t="shared" si="1"/>
        <v>-390000</v>
      </c>
      <c r="F18" s="56">
        <v>350000</v>
      </c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>
        <v>0</v>
      </c>
    </row>
    <row r="19" spans="1:53" x14ac:dyDescent="0.25">
      <c r="A19" s="23" t="s">
        <v>134</v>
      </c>
      <c r="B19" s="10" t="s">
        <v>396</v>
      </c>
      <c r="C19" s="9" t="s">
        <v>400</v>
      </c>
      <c r="D19" s="55"/>
      <c r="E19" s="55">
        <f t="shared" si="1"/>
        <v>0</v>
      </c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>
        <v>0</v>
      </c>
    </row>
    <row r="20" spans="1:53" x14ac:dyDescent="0.25">
      <c r="A20" s="23" t="s">
        <v>135</v>
      </c>
      <c r="B20" s="10" t="s">
        <v>402</v>
      </c>
      <c r="C20" s="9" t="s">
        <v>272</v>
      </c>
      <c r="D20" s="55">
        <v>32000</v>
      </c>
      <c r="E20" s="55">
        <f t="shared" si="1"/>
        <v>-32000</v>
      </c>
      <c r="F20" s="56">
        <v>16000</v>
      </c>
      <c r="G20" s="56">
        <v>16000</v>
      </c>
      <c r="H20" s="56">
        <v>16000</v>
      </c>
      <c r="I20" s="56">
        <v>16000</v>
      </c>
      <c r="J20" s="56">
        <v>16000</v>
      </c>
      <c r="K20" s="56">
        <v>16000</v>
      </c>
      <c r="L20" s="56"/>
      <c r="M20" s="56"/>
      <c r="N20" s="56"/>
      <c r="O20" s="56"/>
      <c r="P20" s="56"/>
      <c r="Q20" s="56">
        <v>28500</v>
      </c>
      <c r="R20" s="56"/>
      <c r="S20" s="56">
        <v>24000</v>
      </c>
      <c r="T20" s="56">
        <v>24000</v>
      </c>
      <c r="U20" s="56"/>
      <c r="V20" s="56"/>
      <c r="W20" s="56"/>
      <c r="X20" s="56">
        <v>16000</v>
      </c>
      <c r="Y20" s="56"/>
      <c r="Z20" s="56">
        <v>16000</v>
      </c>
      <c r="AA20" s="56">
        <v>32000</v>
      </c>
      <c r="AB20" s="56">
        <v>32000</v>
      </c>
      <c r="AC20" s="56">
        <v>32000</v>
      </c>
      <c r="AD20" s="56"/>
      <c r="AE20" s="56"/>
      <c r="AF20" s="56"/>
      <c r="AG20" s="56"/>
      <c r="AH20" s="56">
        <v>16000</v>
      </c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>
        <v>0</v>
      </c>
    </row>
    <row r="21" spans="1:53" x14ac:dyDescent="0.25">
      <c r="A21" s="23" t="s">
        <v>124</v>
      </c>
      <c r="B21" s="10" t="s">
        <v>403</v>
      </c>
      <c r="C21" s="9"/>
      <c r="D21" s="55"/>
      <c r="E21" s="55">
        <f t="shared" si="1"/>
        <v>0</v>
      </c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>
        <v>0</v>
      </c>
    </row>
    <row r="22" spans="1:53" x14ac:dyDescent="0.25">
      <c r="A22" s="23" t="s">
        <v>136</v>
      </c>
      <c r="B22" s="10" t="s">
        <v>21</v>
      </c>
      <c r="C22" s="9" t="s">
        <v>273</v>
      </c>
      <c r="D22" s="55">
        <v>440000</v>
      </c>
      <c r="E22" s="55">
        <f t="shared" si="1"/>
        <v>-440000</v>
      </c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>
        <v>0</v>
      </c>
    </row>
    <row r="23" spans="1:53" ht="25.5" x14ac:dyDescent="0.25">
      <c r="A23" s="23" t="s">
        <v>397</v>
      </c>
      <c r="B23" s="10" t="s">
        <v>399</v>
      </c>
      <c r="C23" s="9" t="s">
        <v>401</v>
      </c>
      <c r="D23" s="55"/>
      <c r="E23" s="55">
        <f t="shared" si="1"/>
        <v>0</v>
      </c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>
        <v>0</v>
      </c>
    </row>
    <row r="24" spans="1:53" x14ac:dyDescent="0.25">
      <c r="A24" s="23" t="s">
        <v>398</v>
      </c>
      <c r="B24" s="10" t="s">
        <v>53</v>
      </c>
      <c r="C24" s="9" t="s">
        <v>401</v>
      </c>
      <c r="D24" s="55"/>
      <c r="E24" s="55">
        <f t="shared" si="1"/>
        <v>0</v>
      </c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>
        <v>0</v>
      </c>
    </row>
    <row r="25" spans="1:53" x14ac:dyDescent="0.25">
      <c r="A25" s="23" t="s">
        <v>415</v>
      </c>
      <c r="B25" s="10" t="s">
        <v>416</v>
      </c>
      <c r="C25" s="9"/>
      <c r="D25" s="55"/>
      <c r="E25" s="55">
        <f t="shared" si="1"/>
        <v>0</v>
      </c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>
        <v>24500</v>
      </c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>
        <v>0</v>
      </c>
    </row>
    <row r="26" spans="1:53" ht="25.5" x14ac:dyDescent="0.25">
      <c r="A26" s="23" t="s">
        <v>434</v>
      </c>
      <c r="B26" s="10" t="s">
        <v>435</v>
      </c>
      <c r="C26" s="9" t="s">
        <v>436</v>
      </c>
      <c r="D26" s="55"/>
      <c r="E26" s="55">
        <f t="shared" si="1"/>
        <v>0</v>
      </c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>
        <v>0</v>
      </c>
    </row>
    <row r="27" spans="1:53" x14ac:dyDescent="0.25">
      <c r="A27" s="23"/>
      <c r="B27" s="10"/>
      <c r="C27" s="9"/>
      <c r="D27" s="55"/>
      <c r="E27" s="55">
        <f t="shared" si="1"/>
        <v>0</v>
      </c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>
        <v>0</v>
      </c>
    </row>
    <row r="28" spans="1:53" x14ac:dyDescent="0.25">
      <c r="A28" s="23"/>
      <c r="B28" s="12"/>
      <c r="C28" s="11"/>
      <c r="D28" s="48"/>
      <c r="E28" s="55">
        <f t="shared" si="1"/>
        <v>0</v>
      </c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56">
        <v>0</v>
      </c>
    </row>
    <row r="29" spans="1:53" x14ac:dyDescent="0.25">
      <c r="A29" s="25">
        <v>2</v>
      </c>
      <c r="B29" s="22" t="s">
        <v>22</v>
      </c>
      <c r="C29" s="22"/>
      <c r="D29" s="22"/>
      <c r="E29" s="55">
        <f t="shared" si="1"/>
        <v>0</v>
      </c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56">
        <v>0</v>
      </c>
    </row>
    <row r="30" spans="1:53" x14ac:dyDescent="0.25">
      <c r="A30" s="23" t="s">
        <v>137</v>
      </c>
      <c r="B30" s="10" t="s">
        <v>240</v>
      </c>
      <c r="C30" s="9" t="s">
        <v>274</v>
      </c>
      <c r="D30" s="55">
        <v>10000</v>
      </c>
      <c r="E30" s="55">
        <f t="shared" si="1"/>
        <v>-10000</v>
      </c>
      <c r="F30" s="56">
        <v>6000</v>
      </c>
      <c r="G30" s="56">
        <v>6000</v>
      </c>
      <c r="H30" s="56">
        <v>6000</v>
      </c>
      <c r="I30" s="56">
        <v>6000</v>
      </c>
      <c r="J30" s="56">
        <v>6000</v>
      </c>
      <c r="K30" s="56">
        <v>6000</v>
      </c>
      <c r="L30" s="56">
        <v>10000</v>
      </c>
      <c r="M30" s="56">
        <v>15000</v>
      </c>
      <c r="N30" s="56">
        <v>10000</v>
      </c>
      <c r="O30" s="56">
        <v>10000</v>
      </c>
      <c r="P30" s="56">
        <v>10000</v>
      </c>
      <c r="Q30" s="56">
        <v>10000</v>
      </c>
      <c r="R30" s="56"/>
      <c r="S30" s="56">
        <v>12000</v>
      </c>
      <c r="T30" s="56">
        <v>12000</v>
      </c>
      <c r="U30" s="56">
        <v>12000</v>
      </c>
      <c r="V30" s="56"/>
      <c r="W30" s="56"/>
      <c r="X30" s="56">
        <v>6000</v>
      </c>
      <c r="Y30" s="56">
        <v>17000</v>
      </c>
      <c r="Z30" s="56">
        <v>6000</v>
      </c>
      <c r="AA30" s="56">
        <v>5100</v>
      </c>
      <c r="AB30" s="56">
        <v>5100</v>
      </c>
      <c r="AC30" s="56">
        <v>5100</v>
      </c>
      <c r="AD30" s="56">
        <v>5100</v>
      </c>
      <c r="AE30" s="56"/>
      <c r="AF30" s="56"/>
      <c r="AG30" s="56"/>
      <c r="AH30" s="56">
        <v>19000</v>
      </c>
      <c r="AI30" s="56">
        <v>19000</v>
      </c>
      <c r="AJ30" s="56"/>
      <c r="AK30" s="56"/>
      <c r="AL30" s="56"/>
      <c r="AM30" s="56">
        <v>15000</v>
      </c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>
        <v>0</v>
      </c>
    </row>
    <row r="31" spans="1:53" x14ac:dyDescent="0.25">
      <c r="A31" s="23" t="s">
        <v>138</v>
      </c>
      <c r="B31" s="10" t="s">
        <v>23</v>
      </c>
      <c r="C31" s="9" t="s">
        <v>275</v>
      </c>
      <c r="D31" s="55">
        <v>35000</v>
      </c>
      <c r="E31" s="55">
        <f t="shared" si="1"/>
        <v>-35000</v>
      </c>
      <c r="F31" s="56">
        <v>26000</v>
      </c>
      <c r="G31" s="56">
        <v>26000</v>
      </c>
      <c r="H31" s="56">
        <v>26000</v>
      </c>
      <c r="I31" s="56">
        <v>26000</v>
      </c>
      <c r="J31" s="56">
        <v>26000</v>
      </c>
      <c r="K31" s="56">
        <v>26000</v>
      </c>
      <c r="L31" s="56">
        <v>35000</v>
      </c>
      <c r="M31" s="56">
        <v>43000</v>
      </c>
      <c r="N31" s="56">
        <v>35000</v>
      </c>
      <c r="O31" s="56">
        <v>32500</v>
      </c>
      <c r="P31" s="56">
        <v>32500</v>
      </c>
      <c r="Q31" s="56">
        <v>35000</v>
      </c>
      <c r="R31" s="56"/>
      <c r="S31" s="56">
        <v>37000</v>
      </c>
      <c r="T31" s="56">
        <v>37000</v>
      </c>
      <c r="U31" s="56">
        <v>37000</v>
      </c>
      <c r="V31" s="56"/>
      <c r="W31" s="56"/>
      <c r="X31" s="56">
        <v>26000</v>
      </c>
      <c r="Y31" s="56">
        <v>39000</v>
      </c>
      <c r="Z31" s="56">
        <v>26000</v>
      </c>
      <c r="AA31" s="56">
        <v>22100</v>
      </c>
      <c r="AB31" s="56">
        <v>22100</v>
      </c>
      <c r="AC31" s="56">
        <v>22100</v>
      </c>
      <c r="AD31" s="56">
        <v>22100</v>
      </c>
      <c r="AE31" s="56"/>
      <c r="AF31" s="56"/>
      <c r="AG31" s="56"/>
      <c r="AH31" s="56">
        <v>45000</v>
      </c>
      <c r="AI31" s="56">
        <v>45000</v>
      </c>
      <c r="AJ31" s="56"/>
      <c r="AK31" s="56"/>
      <c r="AL31" s="56"/>
      <c r="AM31" s="56">
        <v>46000</v>
      </c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>
        <v>0</v>
      </c>
    </row>
    <row r="32" spans="1:53" x14ac:dyDescent="0.25">
      <c r="A32" s="23" t="s">
        <v>138</v>
      </c>
      <c r="B32" s="10" t="s">
        <v>23</v>
      </c>
      <c r="C32" s="9" t="s">
        <v>344</v>
      </c>
      <c r="D32" s="55">
        <v>35000</v>
      </c>
      <c r="E32" s="55">
        <f t="shared" si="1"/>
        <v>-35000</v>
      </c>
      <c r="F32" s="56">
        <v>26000</v>
      </c>
      <c r="G32" s="56">
        <v>26000</v>
      </c>
      <c r="H32" s="56">
        <v>26000</v>
      </c>
      <c r="I32" s="56">
        <v>26000</v>
      </c>
      <c r="J32" s="56">
        <v>26000</v>
      </c>
      <c r="K32" s="56">
        <v>26000</v>
      </c>
      <c r="L32" s="56">
        <v>35000</v>
      </c>
      <c r="M32" s="56">
        <v>35000</v>
      </c>
      <c r="N32" s="56">
        <v>35000</v>
      </c>
      <c r="O32" s="56">
        <v>32500</v>
      </c>
      <c r="P32" s="56">
        <v>32500</v>
      </c>
      <c r="Q32" s="56">
        <v>35000</v>
      </c>
      <c r="R32" s="56"/>
      <c r="S32" s="56">
        <v>37000</v>
      </c>
      <c r="T32" s="56">
        <v>37000</v>
      </c>
      <c r="U32" s="56"/>
      <c r="V32" s="56"/>
      <c r="W32" s="56"/>
      <c r="X32" s="56">
        <v>26000</v>
      </c>
      <c r="Y32" s="56"/>
      <c r="Z32" s="56">
        <v>26000</v>
      </c>
      <c r="AA32" s="56">
        <v>22100</v>
      </c>
      <c r="AB32" s="56">
        <v>22100</v>
      </c>
      <c r="AC32" s="56">
        <v>22100</v>
      </c>
      <c r="AD32" s="56">
        <v>22100</v>
      </c>
      <c r="AE32" s="56"/>
      <c r="AF32" s="56"/>
      <c r="AG32" s="56"/>
      <c r="AH32" s="56">
        <v>45000</v>
      </c>
      <c r="AI32" s="56">
        <v>45000</v>
      </c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>
        <v>0</v>
      </c>
    </row>
    <row r="33" spans="1:53" ht="25.5" x14ac:dyDescent="0.25">
      <c r="A33" s="23" t="s">
        <v>139</v>
      </c>
      <c r="B33" s="10" t="s">
        <v>468</v>
      </c>
      <c r="C33" s="9" t="s">
        <v>277</v>
      </c>
      <c r="D33" s="55">
        <v>50000</v>
      </c>
      <c r="E33" s="55">
        <f t="shared" si="1"/>
        <v>-50000</v>
      </c>
      <c r="F33" s="56">
        <v>36000</v>
      </c>
      <c r="G33" s="56">
        <v>36000</v>
      </c>
      <c r="H33" s="56">
        <v>36000</v>
      </c>
      <c r="I33" s="56">
        <v>36000</v>
      </c>
      <c r="J33" s="56">
        <v>36000</v>
      </c>
      <c r="K33" s="56">
        <v>36000</v>
      </c>
      <c r="L33" s="56">
        <v>50000</v>
      </c>
      <c r="M33" s="56">
        <v>65000</v>
      </c>
      <c r="N33" s="56">
        <v>50000</v>
      </c>
      <c r="O33" s="56">
        <v>55000</v>
      </c>
      <c r="P33" s="56">
        <v>55000</v>
      </c>
      <c r="Q33" s="56">
        <v>50000</v>
      </c>
      <c r="R33" s="56"/>
      <c r="S33" s="56">
        <v>52000</v>
      </c>
      <c r="T33" s="56">
        <v>52000</v>
      </c>
      <c r="U33" s="56">
        <v>52000</v>
      </c>
      <c r="V33" s="56"/>
      <c r="W33" s="56"/>
      <c r="X33" s="56">
        <v>36000</v>
      </c>
      <c r="Y33" s="56">
        <v>52000</v>
      </c>
      <c r="Z33" s="56">
        <v>36000</v>
      </c>
      <c r="AA33" s="56">
        <v>30600</v>
      </c>
      <c r="AB33" s="56">
        <v>30600</v>
      </c>
      <c r="AC33" s="56">
        <v>30600</v>
      </c>
      <c r="AD33" s="56">
        <v>30600</v>
      </c>
      <c r="AE33" s="56"/>
      <c r="AF33" s="56"/>
      <c r="AG33" s="56"/>
      <c r="AH33" s="56">
        <v>69000</v>
      </c>
      <c r="AI33" s="56">
        <v>69000</v>
      </c>
      <c r="AJ33" s="56"/>
      <c r="AK33" s="56"/>
      <c r="AL33" s="56"/>
      <c r="AM33" s="56">
        <v>64200</v>
      </c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>
        <v>74120</v>
      </c>
      <c r="AZ33" s="56"/>
      <c r="BA33" s="56">
        <v>85000</v>
      </c>
    </row>
    <row r="34" spans="1:53" ht="25.5" x14ac:dyDescent="0.25">
      <c r="A34" s="23" t="s">
        <v>140</v>
      </c>
      <c r="B34" s="10" t="s">
        <v>469</v>
      </c>
      <c r="C34" s="9" t="s">
        <v>278</v>
      </c>
      <c r="D34" s="55">
        <v>95000</v>
      </c>
      <c r="E34" s="55">
        <f t="shared" si="1"/>
        <v>-95000</v>
      </c>
      <c r="F34" s="56">
        <v>65000</v>
      </c>
      <c r="G34" s="56">
        <v>65000</v>
      </c>
      <c r="H34" s="56">
        <v>65000</v>
      </c>
      <c r="I34" s="56">
        <v>65000</v>
      </c>
      <c r="J34" s="56">
        <v>65000</v>
      </c>
      <c r="K34" s="56">
        <v>65000</v>
      </c>
      <c r="L34" s="56">
        <v>100000</v>
      </c>
      <c r="M34" s="56">
        <v>100000</v>
      </c>
      <c r="N34" s="56">
        <v>100000</v>
      </c>
      <c r="O34" s="56">
        <v>120000</v>
      </c>
      <c r="P34" s="56">
        <v>120000</v>
      </c>
      <c r="Q34" s="56">
        <v>100000</v>
      </c>
      <c r="R34" s="56"/>
      <c r="S34" s="56">
        <v>95000</v>
      </c>
      <c r="T34" s="56">
        <v>95000</v>
      </c>
      <c r="U34" s="56">
        <v>95000</v>
      </c>
      <c r="V34" s="56"/>
      <c r="W34" s="56"/>
      <c r="X34" s="56">
        <v>65000</v>
      </c>
      <c r="Y34" s="56"/>
      <c r="Z34" s="56">
        <v>65000</v>
      </c>
      <c r="AA34" s="56">
        <v>55250</v>
      </c>
      <c r="AB34" s="56">
        <v>55250</v>
      </c>
      <c r="AC34" s="56">
        <v>110000</v>
      </c>
      <c r="AD34" s="56">
        <v>55250</v>
      </c>
      <c r="AE34" s="56"/>
      <c r="AF34" s="56">
        <v>95000</v>
      </c>
      <c r="AG34" s="56">
        <v>100000</v>
      </c>
      <c r="AH34" s="56">
        <v>120000</v>
      </c>
      <c r="AI34" s="56">
        <v>120000</v>
      </c>
      <c r="AJ34" s="56">
        <v>122100</v>
      </c>
      <c r="AK34" s="56">
        <v>95000</v>
      </c>
      <c r="AL34" s="56"/>
      <c r="AM34" s="56">
        <v>120000</v>
      </c>
      <c r="AN34" s="56"/>
      <c r="AO34" s="57"/>
      <c r="AP34" s="56"/>
      <c r="AQ34" s="58"/>
      <c r="AR34" s="58"/>
      <c r="AS34" s="58"/>
      <c r="AT34" s="58"/>
      <c r="AU34" s="58"/>
      <c r="AV34" s="58"/>
      <c r="AW34" s="56"/>
      <c r="AX34" s="56"/>
      <c r="AY34" s="56"/>
      <c r="AZ34" s="56"/>
      <c r="BA34" s="56">
        <v>115000</v>
      </c>
    </row>
    <row r="35" spans="1:53" ht="25.5" x14ac:dyDescent="0.25">
      <c r="A35" s="23" t="s">
        <v>141</v>
      </c>
      <c r="B35" s="10" t="s">
        <v>437</v>
      </c>
      <c r="C35" s="9" t="s">
        <v>279</v>
      </c>
      <c r="D35" s="55">
        <v>26000</v>
      </c>
      <c r="E35" s="55">
        <f t="shared" si="1"/>
        <v>-26000</v>
      </c>
      <c r="F35" s="56">
        <v>31000</v>
      </c>
      <c r="G35" s="56">
        <v>39240</v>
      </c>
      <c r="H35" s="56">
        <v>31000</v>
      </c>
      <c r="I35" s="56">
        <v>31000</v>
      </c>
      <c r="J35" s="56"/>
      <c r="K35" s="56"/>
      <c r="L35" s="56">
        <v>35000</v>
      </c>
      <c r="M35" s="56">
        <v>35000</v>
      </c>
      <c r="N35" s="56">
        <v>35000</v>
      </c>
      <c r="O35" s="56">
        <v>32000</v>
      </c>
      <c r="P35" s="56">
        <v>32000</v>
      </c>
      <c r="Q35" s="56">
        <v>35000</v>
      </c>
      <c r="R35" s="56">
        <v>35000</v>
      </c>
      <c r="S35" s="56">
        <v>27000</v>
      </c>
      <c r="T35" s="56">
        <v>27000</v>
      </c>
      <c r="U35" s="56">
        <v>27000</v>
      </c>
      <c r="V35" s="56">
        <v>35000</v>
      </c>
      <c r="W35" s="56"/>
      <c r="X35" s="56">
        <v>31000</v>
      </c>
      <c r="Y35" s="56">
        <v>35000</v>
      </c>
      <c r="Z35" s="56">
        <v>31000</v>
      </c>
      <c r="AA35" s="56">
        <v>32000</v>
      </c>
      <c r="AB35" s="56">
        <v>32000</v>
      </c>
      <c r="AC35" s="56">
        <v>32000</v>
      </c>
      <c r="AD35" s="56"/>
      <c r="AE35" s="56"/>
      <c r="AF35" s="56">
        <v>26000</v>
      </c>
      <c r="AG35" s="56">
        <v>27800</v>
      </c>
      <c r="AH35" s="56">
        <v>26000</v>
      </c>
      <c r="AI35" s="56">
        <v>26000</v>
      </c>
      <c r="AJ35" s="56">
        <v>29950</v>
      </c>
      <c r="AK35" s="56">
        <v>26000</v>
      </c>
      <c r="AL35" s="56"/>
      <c r="AM35" s="56">
        <v>36000</v>
      </c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>
        <v>30000</v>
      </c>
    </row>
    <row r="36" spans="1:53" ht="25.5" x14ac:dyDescent="0.25">
      <c r="A36" s="23" t="s">
        <v>455</v>
      </c>
      <c r="B36" s="10" t="s">
        <v>456</v>
      </c>
      <c r="C36" s="9" t="s">
        <v>279</v>
      </c>
      <c r="D36" s="55">
        <v>23000</v>
      </c>
      <c r="E36" s="55">
        <f t="shared" si="1"/>
        <v>-23000</v>
      </c>
      <c r="F36" s="56">
        <v>20000</v>
      </c>
      <c r="G36" s="56">
        <v>20000</v>
      </c>
      <c r="H36" s="56">
        <v>20000</v>
      </c>
      <c r="I36" s="56">
        <v>20000</v>
      </c>
      <c r="J36" s="56"/>
      <c r="K36" s="56"/>
      <c r="L36" s="56"/>
      <c r="M36" s="56"/>
      <c r="N36" s="56"/>
      <c r="O36" s="56"/>
      <c r="P36" s="56"/>
      <c r="Q36" s="56"/>
      <c r="R36" s="56"/>
      <c r="S36" s="56">
        <v>24000</v>
      </c>
      <c r="T36" s="56">
        <v>24000</v>
      </c>
      <c r="U36" s="56">
        <v>24000</v>
      </c>
      <c r="V36" s="56"/>
      <c r="W36" s="56"/>
      <c r="X36" s="56">
        <v>20000</v>
      </c>
      <c r="Y36" s="56">
        <v>29700</v>
      </c>
      <c r="Z36" s="56">
        <v>20000</v>
      </c>
      <c r="AA36" s="56"/>
      <c r="AB36" s="56"/>
      <c r="AC36" s="56"/>
      <c r="AD36" s="56"/>
      <c r="AE36" s="56"/>
      <c r="AF36" s="56">
        <v>23000</v>
      </c>
      <c r="AG36" s="56">
        <v>24600</v>
      </c>
      <c r="AH36" s="56">
        <v>23000</v>
      </c>
      <c r="AI36" s="56">
        <v>23000</v>
      </c>
      <c r="AJ36" s="56"/>
      <c r="AK36" s="56">
        <v>23000</v>
      </c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>
        <v>0</v>
      </c>
    </row>
    <row r="37" spans="1:53" x14ac:dyDescent="0.25">
      <c r="A37" s="23" t="s">
        <v>142</v>
      </c>
      <c r="B37" s="10" t="s">
        <v>404</v>
      </c>
      <c r="C37" s="9" t="s">
        <v>302</v>
      </c>
      <c r="D37" s="55">
        <v>85000</v>
      </c>
      <c r="E37" s="55">
        <f t="shared" si="1"/>
        <v>-85000</v>
      </c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>
        <v>0</v>
      </c>
    </row>
    <row r="38" spans="1:53" x14ac:dyDescent="0.25">
      <c r="A38" s="23" t="s">
        <v>409</v>
      </c>
      <c r="B38" s="10" t="s">
        <v>467</v>
      </c>
      <c r="C38" s="9" t="s">
        <v>276</v>
      </c>
      <c r="D38" s="55">
        <v>55000</v>
      </c>
      <c r="E38" s="55">
        <f t="shared" si="1"/>
        <v>-55000</v>
      </c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>
        <v>0</v>
      </c>
    </row>
    <row r="39" spans="1:53" x14ac:dyDescent="0.25">
      <c r="A39" s="23" t="s">
        <v>143</v>
      </c>
      <c r="B39" s="10" t="s">
        <v>467</v>
      </c>
      <c r="C39" s="9" t="s">
        <v>341</v>
      </c>
      <c r="D39" s="55">
        <v>55000</v>
      </c>
      <c r="E39" s="55">
        <f t="shared" si="1"/>
        <v>-55000</v>
      </c>
      <c r="F39" s="56"/>
      <c r="G39" s="56"/>
      <c r="H39" s="56"/>
      <c r="I39" s="56"/>
      <c r="J39" s="56"/>
      <c r="K39" s="56"/>
      <c r="L39" s="56"/>
      <c r="M39" s="56">
        <v>60000</v>
      </c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>
        <v>57000</v>
      </c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>
        <v>55000</v>
      </c>
    </row>
    <row r="40" spans="1:53" ht="25.5" x14ac:dyDescent="0.25">
      <c r="A40" s="23" t="s">
        <v>144</v>
      </c>
      <c r="B40" s="10" t="s">
        <v>280</v>
      </c>
      <c r="C40" s="9" t="s">
        <v>268</v>
      </c>
      <c r="D40" s="55">
        <v>535000</v>
      </c>
      <c r="E40" s="55">
        <f t="shared" si="1"/>
        <v>-535000</v>
      </c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>
        <v>0</v>
      </c>
    </row>
    <row r="41" spans="1:53" ht="25.5" x14ac:dyDescent="0.25">
      <c r="A41" s="23" t="s">
        <v>145</v>
      </c>
      <c r="B41" s="10" t="s">
        <v>281</v>
      </c>
      <c r="C41" s="9" t="s">
        <v>282</v>
      </c>
      <c r="D41" s="55">
        <v>380000</v>
      </c>
      <c r="E41" s="55">
        <f t="shared" si="1"/>
        <v>-380000</v>
      </c>
      <c r="F41" s="56">
        <v>90000</v>
      </c>
      <c r="G41" s="56"/>
      <c r="H41" s="56"/>
      <c r="I41" s="56"/>
      <c r="J41" s="56">
        <v>90000</v>
      </c>
      <c r="K41" s="56"/>
      <c r="L41" s="56">
        <v>380000</v>
      </c>
      <c r="M41" s="56"/>
      <c r="N41" s="56"/>
      <c r="O41" s="56">
        <v>320000</v>
      </c>
      <c r="P41" s="56">
        <v>320000</v>
      </c>
      <c r="Q41" s="56">
        <v>380000</v>
      </c>
      <c r="R41" s="56"/>
      <c r="S41" s="56"/>
      <c r="T41" s="56"/>
      <c r="U41" s="56"/>
      <c r="V41" s="56"/>
      <c r="W41" s="56"/>
      <c r="X41" s="56">
        <v>90000</v>
      </c>
      <c r="Y41" s="56"/>
      <c r="Z41" s="56"/>
      <c r="AA41" s="56"/>
      <c r="AB41" s="56"/>
      <c r="AC41" s="56"/>
      <c r="AD41" s="56"/>
      <c r="AE41" s="56"/>
      <c r="AF41" s="56"/>
      <c r="AG41" s="56"/>
      <c r="AH41" s="56">
        <v>390000</v>
      </c>
      <c r="AI41" s="56">
        <v>390000</v>
      </c>
      <c r="AJ41" s="56"/>
      <c r="AK41" s="56"/>
      <c r="AL41" s="56"/>
      <c r="AM41" s="56"/>
      <c r="AN41" s="56"/>
      <c r="AO41" s="57"/>
      <c r="AP41" s="56"/>
      <c r="AQ41" s="58"/>
      <c r="AR41" s="58"/>
      <c r="AS41" s="58"/>
      <c r="AT41" s="58"/>
      <c r="AU41" s="58"/>
      <c r="AV41" s="58"/>
      <c r="AW41" s="56"/>
      <c r="AX41" s="56"/>
      <c r="AY41" s="56"/>
      <c r="AZ41" s="56"/>
      <c r="BA41" s="56">
        <v>0</v>
      </c>
    </row>
    <row r="42" spans="1:53" ht="25.5" x14ac:dyDescent="0.25">
      <c r="A42" s="23" t="s">
        <v>458</v>
      </c>
      <c r="B42" s="10" t="s">
        <v>457</v>
      </c>
      <c r="C42" s="9" t="s">
        <v>282</v>
      </c>
      <c r="D42" s="55"/>
      <c r="E42" s="55">
        <f t="shared" si="1"/>
        <v>0</v>
      </c>
      <c r="F42" s="56">
        <v>90000</v>
      </c>
      <c r="G42" s="56">
        <v>90000</v>
      </c>
      <c r="H42" s="56">
        <v>90000</v>
      </c>
      <c r="I42" s="56">
        <v>90000</v>
      </c>
      <c r="J42" s="56">
        <v>90000</v>
      </c>
      <c r="K42" s="56">
        <v>90000</v>
      </c>
      <c r="L42" s="56"/>
      <c r="M42" s="56"/>
      <c r="N42" s="56"/>
      <c r="O42" s="56">
        <v>320000</v>
      </c>
      <c r="P42" s="56">
        <v>320000</v>
      </c>
      <c r="Q42" s="56"/>
      <c r="R42" s="56"/>
      <c r="S42" s="56">
        <v>320000</v>
      </c>
      <c r="T42" s="56">
        <v>320000</v>
      </c>
      <c r="U42" s="56">
        <v>320000</v>
      </c>
      <c r="V42" s="56"/>
      <c r="W42" s="56"/>
      <c r="X42" s="56">
        <v>90000</v>
      </c>
      <c r="Y42" s="56"/>
      <c r="Z42" s="56">
        <v>90000</v>
      </c>
      <c r="AA42" s="56">
        <v>76500</v>
      </c>
      <c r="AB42" s="56">
        <v>76500</v>
      </c>
      <c r="AC42" s="56">
        <v>76500</v>
      </c>
      <c r="AD42" s="56">
        <v>76500</v>
      </c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7"/>
      <c r="AP42" s="56"/>
      <c r="AQ42" s="58"/>
      <c r="AR42" s="58"/>
      <c r="AS42" s="58"/>
      <c r="AT42" s="58"/>
      <c r="AU42" s="58"/>
      <c r="AV42" s="58"/>
      <c r="AW42" s="56"/>
      <c r="AX42" s="56"/>
      <c r="AY42" s="56"/>
      <c r="AZ42" s="56"/>
      <c r="BA42" s="56">
        <v>0</v>
      </c>
    </row>
    <row r="43" spans="1:53" x14ac:dyDescent="0.25">
      <c r="A43" s="23" t="s">
        <v>146</v>
      </c>
      <c r="B43" s="10" t="s">
        <v>283</v>
      </c>
      <c r="C43" s="9" t="s">
        <v>284</v>
      </c>
      <c r="D43" s="55">
        <v>58500</v>
      </c>
      <c r="E43" s="55">
        <f t="shared" si="1"/>
        <v>-58500</v>
      </c>
      <c r="F43" s="56">
        <v>50000</v>
      </c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>
        <v>0</v>
      </c>
    </row>
    <row r="44" spans="1:53" x14ac:dyDescent="0.25">
      <c r="A44" s="23" t="s">
        <v>147</v>
      </c>
      <c r="B44" s="10" t="s">
        <v>24</v>
      </c>
      <c r="C44" s="9" t="s">
        <v>268</v>
      </c>
      <c r="D44" s="55">
        <v>60000</v>
      </c>
      <c r="E44" s="55">
        <f t="shared" si="1"/>
        <v>-60000</v>
      </c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>
        <v>0</v>
      </c>
    </row>
    <row r="45" spans="1:53" x14ac:dyDescent="0.25">
      <c r="A45" s="23" t="s">
        <v>285</v>
      </c>
      <c r="B45" s="10" t="s">
        <v>297</v>
      </c>
      <c r="C45" s="9" t="s">
        <v>268</v>
      </c>
      <c r="D45" s="55">
        <v>35000</v>
      </c>
      <c r="E45" s="55">
        <f t="shared" si="1"/>
        <v>-35000</v>
      </c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>
        <v>0</v>
      </c>
    </row>
    <row r="46" spans="1:53" x14ac:dyDescent="0.25">
      <c r="A46" s="23" t="s">
        <v>286</v>
      </c>
      <c r="B46" s="10" t="s">
        <v>298</v>
      </c>
      <c r="C46" s="9" t="s">
        <v>299</v>
      </c>
      <c r="D46" s="55">
        <v>55000</v>
      </c>
      <c r="E46" s="55">
        <f t="shared" si="1"/>
        <v>-55000</v>
      </c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>
        <v>0</v>
      </c>
    </row>
    <row r="47" spans="1:53" ht="25.5" x14ac:dyDescent="0.25">
      <c r="A47" s="23" t="s">
        <v>287</v>
      </c>
      <c r="B47" s="10" t="s">
        <v>301</v>
      </c>
      <c r="C47" s="9" t="s">
        <v>300</v>
      </c>
      <c r="D47" s="55">
        <v>75000</v>
      </c>
      <c r="E47" s="55">
        <f t="shared" si="1"/>
        <v>-75000</v>
      </c>
      <c r="F47" s="56">
        <v>55000</v>
      </c>
      <c r="G47" s="56">
        <v>55000</v>
      </c>
      <c r="H47" s="56">
        <v>55000</v>
      </c>
      <c r="I47" s="56">
        <v>55000</v>
      </c>
      <c r="J47" s="56">
        <v>55000</v>
      </c>
      <c r="K47" s="56">
        <v>55000</v>
      </c>
      <c r="L47" s="56"/>
      <c r="M47" s="56"/>
      <c r="N47" s="56"/>
      <c r="O47" s="56"/>
      <c r="P47" s="56">
        <v>75000</v>
      </c>
      <c r="Q47" s="56">
        <v>75000</v>
      </c>
      <c r="R47" s="56"/>
      <c r="S47" s="56">
        <v>65000</v>
      </c>
      <c r="T47" s="56">
        <v>65000</v>
      </c>
      <c r="U47" s="56"/>
      <c r="V47" s="56"/>
      <c r="W47" s="56"/>
      <c r="X47" s="56">
        <v>55000</v>
      </c>
      <c r="Y47" s="56"/>
      <c r="Z47" s="56">
        <v>55000</v>
      </c>
      <c r="AA47" s="56">
        <v>28475</v>
      </c>
      <c r="AB47" s="56">
        <v>28475</v>
      </c>
      <c r="AC47" s="56">
        <v>28475</v>
      </c>
      <c r="AD47" s="56">
        <v>28475</v>
      </c>
      <c r="AE47" s="56"/>
      <c r="AF47" s="56"/>
      <c r="AG47" s="56"/>
      <c r="AH47" s="56">
        <v>69000</v>
      </c>
      <c r="AI47" s="56">
        <v>69000</v>
      </c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>
        <v>0</v>
      </c>
    </row>
    <row r="48" spans="1:53" ht="25.5" x14ac:dyDescent="0.25">
      <c r="A48" s="23" t="s">
        <v>288</v>
      </c>
      <c r="B48" s="10" t="s">
        <v>337</v>
      </c>
      <c r="C48" s="9" t="s">
        <v>336</v>
      </c>
      <c r="D48" s="55">
        <v>95000</v>
      </c>
      <c r="E48" s="55">
        <f t="shared" si="1"/>
        <v>-95000</v>
      </c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>
        <v>0</v>
      </c>
    </row>
    <row r="49" spans="1:53" ht="25.5" x14ac:dyDescent="0.25">
      <c r="A49" s="23" t="s">
        <v>289</v>
      </c>
      <c r="B49" s="10" t="s">
        <v>339</v>
      </c>
      <c r="C49" s="9" t="s">
        <v>338</v>
      </c>
      <c r="D49" s="55">
        <v>165000</v>
      </c>
      <c r="E49" s="55">
        <f t="shared" si="1"/>
        <v>-165000</v>
      </c>
      <c r="F49" s="56">
        <v>120000</v>
      </c>
      <c r="G49" s="56">
        <v>120000</v>
      </c>
      <c r="H49" s="56">
        <v>120000</v>
      </c>
      <c r="I49" s="56">
        <v>120000</v>
      </c>
      <c r="J49" s="56">
        <v>120000</v>
      </c>
      <c r="K49" s="56">
        <v>120000</v>
      </c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>
        <v>120000</v>
      </c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>
        <v>0</v>
      </c>
    </row>
    <row r="50" spans="1:53" x14ac:dyDescent="0.25">
      <c r="A50" s="23" t="s">
        <v>290</v>
      </c>
      <c r="B50" s="10" t="s">
        <v>342</v>
      </c>
      <c r="C50" s="9" t="s">
        <v>343</v>
      </c>
      <c r="D50" s="55">
        <v>35000</v>
      </c>
      <c r="E50" s="55">
        <f t="shared" si="1"/>
        <v>-35000</v>
      </c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>
        <v>0</v>
      </c>
    </row>
    <row r="51" spans="1:53" ht="25.5" x14ac:dyDescent="0.25">
      <c r="A51" s="23" t="s">
        <v>291</v>
      </c>
      <c r="B51" s="10" t="s">
        <v>438</v>
      </c>
      <c r="C51" s="9" t="s">
        <v>439</v>
      </c>
      <c r="D51" s="56">
        <v>265000</v>
      </c>
      <c r="E51" s="55">
        <f t="shared" si="1"/>
        <v>-265000</v>
      </c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>
        <v>0</v>
      </c>
    </row>
    <row r="52" spans="1:53" ht="25.5" x14ac:dyDescent="0.25">
      <c r="A52" s="23" t="s">
        <v>525</v>
      </c>
      <c r="B52" s="10" t="s">
        <v>526</v>
      </c>
      <c r="C52" s="9" t="s">
        <v>527</v>
      </c>
      <c r="D52" s="56">
        <v>60000</v>
      </c>
      <c r="E52" s="55">
        <f t="shared" si="1"/>
        <v>-60000</v>
      </c>
      <c r="F52" s="56">
        <v>50000</v>
      </c>
      <c r="G52" s="56">
        <v>50000</v>
      </c>
      <c r="H52" s="56">
        <v>50000</v>
      </c>
      <c r="I52" s="56">
        <v>50000</v>
      </c>
      <c r="J52" s="56">
        <v>50000</v>
      </c>
      <c r="K52" s="56">
        <v>50000</v>
      </c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>
        <v>50000</v>
      </c>
      <c r="X52" s="56"/>
      <c r="Y52" s="56">
        <v>50000</v>
      </c>
      <c r="Z52" s="56"/>
      <c r="AA52" s="56"/>
      <c r="AB52" s="56"/>
      <c r="AC52" s="56"/>
      <c r="AD52" s="56"/>
      <c r="AE52" s="56"/>
      <c r="AF52" s="56"/>
      <c r="AG52" s="56"/>
      <c r="AH52" s="56">
        <v>65000</v>
      </c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>
        <v>0</v>
      </c>
    </row>
    <row r="53" spans="1:53" ht="25.5" x14ac:dyDescent="0.25">
      <c r="A53" s="23" t="s">
        <v>528</v>
      </c>
      <c r="B53" s="10" t="s">
        <v>529</v>
      </c>
      <c r="C53" s="9" t="s">
        <v>530</v>
      </c>
      <c r="D53" s="56">
        <v>25000</v>
      </c>
      <c r="E53" s="55">
        <f t="shared" si="1"/>
        <v>-25000</v>
      </c>
      <c r="F53" s="56">
        <v>20000</v>
      </c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>
        <v>0</v>
      </c>
    </row>
    <row r="54" spans="1:53" x14ac:dyDescent="0.25">
      <c r="A54" s="23" t="s">
        <v>292</v>
      </c>
      <c r="B54" s="10" t="s">
        <v>440</v>
      </c>
      <c r="C54" s="9" t="s">
        <v>441</v>
      </c>
      <c r="D54" s="56">
        <v>125000</v>
      </c>
      <c r="E54" s="55">
        <f t="shared" si="1"/>
        <v>-125000</v>
      </c>
      <c r="F54" s="56">
        <v>110000</v>
      </c>
      <c r="G54" s="56">
        <v>110000</v>
      </c>
      <c r="H54" s="56">
        <v>110000</v>
      </c>
      <c r="I54" s="56">
        <v>110000</v>
      </c>
      <c r="J54" s="56">
        <v>110000</v>
      </c>
      <c r="K54" s="56">
        <v>110000</v>
      </c>
      <c r="L54" s="56"/>
      <c r="M54" s="56"/>
      <c r="N54" s="56"/>
      <c r="O54" s="56"/>
      <c r="P54" s="56"/>
      <c r="Q54" s="56"/>
      <c r="R54" s="56"/>
      <c r="S54" s="56">
        <v>125000</v>
      </c>
      <c r="T54" s="56">
        <v>125000</v>
      </c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>
        <v>138000</v>
      </c>
      <c r="AI54" s="56">
        <v>138000</v>
      </c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>
        <v>0</v>
      </c>
    </row>
    <row r="55" spans="1:53" x14ac:dyDescent="0.25">
      <c r="A55" s="23" t="s">
        <v>293</v>
      </c>
      <c r="B55" s="10" t="s">
        <v>442</v>
      </c>
      <c r="C55" s="9" t="s">
        <v>443</v>
      </c>
      <c r="D55" s="56">
        <v>120000</v>
      </c>
      <c r="E55" s="55">
        <f t="shared" si="1"/>
        <v>-120000</v>
      </c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>
        <v>0</v>
      </c>
    </row>
    <row r="56" spans="1:53" x14ac:dyDescent="0.25">
      <c r="A56" s="23" t="s">
        <v>294</v>
      </c>
      <c r="B56" s="10" t="s">
        <v>444</v>
      </c>
      <c r="C56" s="9" t="s">
        <v>445</v>
      </c>
      <c r="D56" s="56">
        <v>150000</v>
      </c>
      <c r="E56" s="55">
        <f t="shared" si="1"/>
        <v>-150000</v>
      </c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>
        <v>0</v>
      </c>
    </row>
    <row r="57" spans="1:53" x14ac:dyDescent="0.25">
      <c r="A57" s="23" t="s">
        <v>295</v>
      </c>
      <c r="B57" s="10" t="s">
        <v>446</v>
      </c>
      <c r="C57" s="9" t="s">
        <v>268</v>
      </c>
      <c r="D57" s="56">
        <v>170000</v>
      </c>
      <c r="E57" s="55">
        <f t="shared" si="1"/>
        <v>-170000</v>
      </c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>
        <v>0</v>
      </c>
    </row>
    <row r="58" spans="1:53" ht="25.5" x14ac:dyDescent="0.25">
      <c r="A58" s="23" t="s">
        <v>296</v>
      </c>
      <c r="B58" s="10" t="s">
        <v>531</v>
      </c>
      <c r="C58" s="9" t="s">
        <v>447</v>
      </c>
      <c r="D58" s="56">
        <v>510000</v>
      </c>
      <c r="E58" s="55">
        <f t="shared" si="1"/>
        <v>-510000</v>
      </c>
      <c r="F58" s="56">
        <v>350000</v>
      </c>
      <c r="G58" s="56">
        <v>350000</v>
      </c>
      <c r="H58" s="56">
        <v>350000</v>
      </c>
      <c r="I58" s="56">
        <v>350000</v>
      </c>
      <c r="J58" s="56">
        <v>350000</v>
      </c>
      <c r="K58" s="56">
        <v>350000</v>
      </c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>
        <v>0</v>
      </c>
    </row>
    <row r="59" spans="1:53" x14ac:dyDescent="0.25">
      <c r="A59" s="23" t="s">
        <v>452</v>
      </c>
      <c r="B59" s="10" t="s">
        <v>448</v>
      </c>
      <c r="C59" s="9" t="s">
        <v>449</v>
      </c>
      <c r="D59" s="56">
        <v>145000</v>
      </c>
      <c r="E59" s="55">
        <f t="shared" si="1"/>
        <v>-145000</v>
      </c>
      <c r="F59" s="56">
        <v>120000</v>
      </c>
      <c r="G59" s="56">
        <v>120000</v>
      </c>
      <c r="H59" s="56">
        <v>120000</v>
      </c>
      <c r="I59" s="56">
        <v>120000</v>
      </c>
      <c r="J59" s="56">
        <v>120000</v>
      </c>
      <c r="K59" s="56">
        <v>120000</v>
      </c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>
        <v>0</v>
      </c>
    </row>
    <row r="60" spans="1:53" ht="25.5" x14ac:dyDescent="0.25">
      <c r="A60" s="23" t="s">
        <v>453</v>
      </c>
      <c r="B60" s="10" t="s">
        <v>438</v>
      </c>
      <c r="C60" s="9" t="s">
        <v>439</v>
      </c>
      <c r="D60" s="56">
        <v>268500</v>
      </c>
      <c r="E60" s="55">
        <f t="shared" si="1"/>
        <v>-268500</v>
      </c>
      <c r="F60" s="56">
        <v>268500</v>
      </c>
      <c r="G60" s="56">
        <v>268500</v>
      </c>
      <c r="H60" s="56">
        <v>268500</v>
      </c>
      <c r="I60" s="56">
        <v>268500</v>
      </c>
      <c r="J60" s="56">
        <v>268500</v>
      </c>
      <c r="K60" s="56">
        <v>268500</v>
      </c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>
        <v>0</v>
      </c>
    </row>
    <row r="61" spans="1:53" x14ac:dyDescent="0.25">
      <c r="A61" s="23" t="s">
        <v>454</v>
      </c>
      <c r="B61" s="10" t="s">
        <v>450</v>
      </c>
      <c r="C61" s="9" t="s">
        <v>451</v>
      </c>
      <c r="D61" s="56">
        <v>315000</v>
      </c>
      <c r="E61" s="55">
        <f t="shared" si="1"/>
        <v>-315000</v>
      </c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>
        <v>0</v>
      </c>
    </row>
    <row r="62" spans="1:53" x14ac:dyDescent="0.25">
      <c r="A62" s="23" t="s">
        <v>519</v>
      </c>
      <c r="B62" s="10" t="s">
        <v>532</v>
      </c>
      <c r="C62" s="9" t="s">
        <v>533</v>
      </c>
      <c r="D62" s="56">
        <v>1315000</v>
      </c>
      <c r="E62" s="55">
        <f t="shared" si="1"/>
        <v>-1315000</v>
      </c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>
        <v>0</v>
      </c>
    </row>
    <row r="63" spans="1:53" x14ac:dyDescent="0.25">
      <c r="A63" s="23" t="s">
        <v>534</v>
      </c>
      <c r="B63" s="10" t="s">
        <v>535</v>
      </c>
      <c r="C63" s="9" t="s">
        <v>536</v>
      </c>
      <c r="D63" s="55">
        <v>305000</v>
      </c>
      <c r="E63" s="55">
        <f t="shared" si="1"/>
        <v>-305000</v>
      </c>
      <c r="F63" s="56">
        <v>216000</v>
      </c>
      <c r="G63" s="56">
        <v>216000</v>
      </c>
      <c r="H63" s="56">
        <v>216000</v>
      </c>
      <c r="I63" s="56">
        <v>216000</v>
      </c>
      <c r="J63" s="56">
        <v>216000</v>
      </c>
      <c r="K63" s="56">
        <v>216000</v>
      </c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>
        <v>0</v>
      </c>
    </row>
    <row r="64" spans="1:53" x14ac:dyDescent="0.25">
      <c r="A64" s="23" t="s">
        <v>537</v>
      </c>
      <c r="B64" s="10" t="s">
        <v>538</v>
      </c>
      <c r="C64" s="9" t="s">
        <v>539</v>
      </c>
      <c r="D64" s="55">
        <v>1050000</v>
      </c>
      <c r="E64" s="55">
        <f t="shared" si="1"/>
        <v>-1050000</v>
      </c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>
        <v>0</v>
      </c>
    </row>
    <row r="65" spans="1:53" x14ac:dyDescent="0.25">
      <c r="A65" s="23" t="s">
        <v>540</v>
      </c>
      <c r="B65" s="10" t="s">
        <v>541</v>
      </c>
      <c r="C65" s="9" t="s">
        <v>542</v>
      </c>
      <c r="D65" s="55">
        <v>75000</v>
      </c>
      <c r="E65" s="55">
        <f t="shared" si="1"/>
        <v>-75000</v>
      </c>
      <c r="F65" s="56">
        <v>75000</v>
      </c>
      <c r="G65" s="56">
        <v>75000</v>
      </c>
      <c r="H65" s="56">
        <v>75000</v>
      </c>
      <c r="I65" s="56">
        <v>75000</v>
      </c>
      <c r="J65" s="56">
        <v>75000</v>
      </c>
      <c r="K65" s="56">
        <v>75000</v>
      </c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>
        <v>0</v>
      </c>
    </row>
    <row r="66" spans="1:53" x14ac:dyDescent="0.25">
      <c r="A66" s="23" t="s">
        <v>543</v>
      </c>
      <c r="B66" s="10" t="s">
        <v>544</v>
      </c>
      <c r="C66" s="9" t="s">
        <v>545</v>
      </c>
      <c r="D66" s="55">
        <v>185000</v>
      </c>
      <c r="E66" s="55">
        <f t="shared" si="1"/>
        <v>-185000</v>
      </c>
      <c r="F66" s="56">
        <v>170000</v>
      </c>
      <c r="G66" s="56">
        <v>170000</v>
      </c>
      <c r="H66" s="56">
        <v>170000</v>
      </c>
      <c r="I66" s="56">
        <v>170000</v>
      </c>
      <c r="J66" s="56">
        <v>170000</v>
      </c>
      <c r="K66" s="56">
        <v>170000</v>
      </c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>
        <v>0</v>
      </c>
    </row>
    <row r="67" spans="1:53" x14ac:dyDescent="0.25">
      <c r="A67" s="23" t="s">
        <v>546</v>
      </c>
      <c r="B67" s="10" t="s">
        <v>547</v>
      </c>
      <c r="C67" s="9" t="s">
        <v>548</v>
      </c>
      <c r="D67" s="55">
        <v>105000</v>
      </c>
      <c r="E67" s="55">
        <f t="shared" si="1"/>
        <v>-105000</v>
      </c>
      <c r="F67" s="56">
        <v>90000</v>
      </c>
      <c r="G67" s="56">
        <v>90000</v>
      </c>
      <c r="H67" s="56">
        <v>90000</v>
      </c>
      <c r="I67" s="56">
        <v>90000</v>
      </c>
      <c r="J67" s="56">
        <v>90000</v>
      </c>
      <c r="K67" s="56">
        <v>90000</v>
      </c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>
        <v>0</v>
      </c>
    </row>
    <row r="68" spans="1:53" ht="25.5" x14ac:dyDescent="0.25">
      <c r="A68" s="23" t="s">
        <v>549</v>
      </c>
      <c r="B68" s="10" t="s">
        <v>550</v>
      </c>
      <c r="C68" s="9" t="s">
        <v>447</v>
      </c>
      <c r="D68" s="55">
        <v>600000</v>
      </c>
      <c r="E68" s="55">
        <f t="shared" si="1"/>
        <v>-600000</v>
      </c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>
        <v>0</v>
      </c>
    </row>
    <row r="69" spans="1:53" ht="25.5" x14ac:dyDescent="0.25">
      <c r="A69" s="23" t="s">
        <v>551</v>
      </c>
      <c r="B69" s="10" t="s">
        <v>552</v>
      </c>
      <c r="C69" s="9" t="s">
        <v>447</v>
      </c>
      <c r="D69" s="55">
        <v>695000</v>
      </c>
      <c r="E69" s="55">
        <f t="shared" si="1"/>
        <v>-695000</v>
      </c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>
        <v>0</v>
      </c>
    </row>
    <row r="70" spans="1:53" x14ac:dyDescent="0.25">
      <c r="A70" s="23" t="s">
        <v>553</v>
      </c>
      <c r="B70" s="10" t="s">
        <v>554</v>
      </c>
      <c r="C70" s="9" t="s">
        <v>555</v>
      </c>
      <c r="D70" s="55">
        <v>150000</v>
      </c>
      <c r="E70" s="55">
        <f t="shared" si="1"/>
        <v>-150000</v>
      </c>
      <c r="F70" s="55">
        <v>150000</v>
      </c>
      <c r="G70" s="55">
        <v>150000</v>
      </c>
      <c r="H70" s="55">
        <v>150000</v>
      </c>
      <c r="I70" s="55">
        <v>150000</v>
      </c>
      <c r="J70" s="55">
        <v>150000</v>
      </c>
      <c r="K70" s="55">
        <v>150000</v>
      </c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>
        <v>0</v>
      </c>
    </row>
    <row r="71" spans="1:53" x14ac:dyDescent="0.25">
      <c r="A71" s="23" t="s">
        <v>556</v>
      </c>
      <c r="B71" s="10" t="s">
        <v>557</v>
      </c>
      <c r="C71" s="9" t="s">
        <v>558</v>
      </c>
      <c r="D71" s="55">
        <v>1690000</v>
      </c>
      <c r="E71" s="55">
        <f t="shared" ref="E71:E134" si="2">+(D71*$E$5)-D71</f>
        <v>-1690000</v>
      </c>
      <c r="F71" s="56">
        <v>1600000</v>
      </c>
      <c r="G71" s="56">
        <v>1600000</v>
      </c>
      <c r="H71" s="56">
        <v>1600000</v>
      </c>
      <c r="I71" s="56">
        <v>1600000</v>
      </c>
      <c r="J71" s="56">
        <v>1600000</v>
      </c>
      <c r="K71" s="56">
        <v>1600000</v>
      </c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>
        <v>0</v>
      </c>
    </row>
    <row r="72" spans="1:53" x14ac:dyDescent="0.25">
      <c r="A72" s="23" t="s">
        <v>559</v>
      </c>
      <c r="B72" s="10" t="s">
        <v>560</v>
      </c>
      <c r="C72" s="9" t="s">
        <v>561</v>
      </c>
      <c r="D72" s="55">
        <v>265000</v>
      </c>
      <c r="E72" s="55">
        <f t="shared" si="2"/>
        <v>-265000</v>
      </c>
      <c r="F72" s="56">
        <v>205000</v>
      </c>
      <c r="G72" s="56">
        <v>205000</v>
      </c>
      <c r="H72" s="56">
        <v>205000</v>
      </c>
      <c r="I72" s="56">
        <v>205000</v>
      </c>
      <c r="J72" s="56">
        <v>205000</v>
      </c>
      <c r="K72" s="56">
        <v>205000</v>
      </c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>
        <v>0</v>
      </c>
    </row>
    <row r="73" spans="1:53" ht="25.5" x14ac:dyDescent="0.25">
      <c r="A73" s="23" t="s">
        <v>562</v>
      </c>
      <c r="B73" s="10" t="s">
        <v>563</v>
      </c>
      <c r="C73" s="9" t="s">
        <v>564</v>
      </c>
      <c r="D73" s="55">
        <v>365000</v>
      </c>
      <c r="E73" s="55">
        <f t="shared" si="2"/>
        <v>-365000</v>
      </c>
      <c r="F73" s="56">
        <v>207000</v>
      </c>
      <c r="G73" s="56">
        <v>207000</v>
      </c>
      <c r="H73" s="56">
        <v>207000</v>
      </c>
      <c r="I73" s="56">
        <v>207000</v>
      </c>
      <c r="J73" s="56">
        <v>207000</v>
      </c>
      <c r="K73" s="56">
        <v>207000</v>
      </c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>
        <v>0</v>
      </c>
    </row>
    <row r="74" spans="1:53" x14ac:dyDescent="0.25">
      <c r="A74" s="23" t="s">
        <v>565</v>
      </c>
      <c r="B74" s="10" t="s">
        <v>566</v>
      </c>
      <c r="C74" s="9" t="s">
        <v>567</v>
      </c>
      <c r="D74" s="55">
        <v>210000</v>
      </c>
      <c r="E74" s="55">
        <f t="shared" si="2"/>
        <v>-210000</v>
      </c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>
        <v>0</v>
      </c>
    </row>
    <row r="75" spans="1:53" x14ac:dyDescent="0.25">
      <c r="A75" s="23" t="s">
        <v>568</v>
      </c>
      <c r="B75" s="10" t="s">
        <v>569</v>
      </c>
      <c r="C75" s="9" t="s">
        <v>530</v>
      </c>
      <c r="D75" s="55">
        <v>20000</v>
      </c>
      <c r="E75" s="55">
        <f t="shared" si="2"/>
        <v>-20000</v>
      </c>
      <c r="F75" s="56">
        <v>12500</v>
      </c>
      <c r="G75" s="56">
        <v>12500</v>
      </c>
      <c r="H75" s="56">
        <v>12500</v>
      </c>
      <c r="I75" s="56">
        <v>12500</v>
      </c>
      <c r="J75" s="56">
        <v>12500</v>
      </c>
      <c r="K75" s="56">
        <v>12500</v>
      </c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>
        <v>0</v>
      </c>
    </row>
    <row r="76" spans="1:53" ht="25.5" x14ac:dyDescent="0.25">
      <c r="A76" s="23" t="s">
        <v>570</v>
      </c>
      <c r="B76" s="10" t="s">
        <v>571</v>
      </c>
      <c r="C76" s="9" t="s">
        <v>572</v>
      </c>
      <c r="D76" s="55">
        <v>245000</v>
      </c>
      <c r="E76" s="55">
        <f t="shared" si="2"/>
        <v>-245000</v>
      </c>
      <c r="F76" s="56">
        <v>205000</v>
      </c>
      <c r="G76" s="56">
        <v>205000</v>
      </c>
      <c r="H76" s="56">
        <v>205000</v>
      </c>
      <c r="I76" s="56">
        <v>205000</v>
      </c>
      <c r="J76" s="56">
        <v>205000</v>
      </c>
      <c r="K76" s="56">
        <v>205000</v>
      </c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>
        <v>0</v>
      </c>
    </row>
    <row r="77" spans="1:53" x14ac:dyDescent="0.25">
      <c r="A77" s="23" t="s">
        <v>573</v>
      </c>
      <c r="B77" s="10" t="s">
        <v>574</v>
      </c>
      <c r="C77" s="9" t="s">
        <v>575</v>
      </c>
      <c r="D77" s="55">
        <v>285000</v>
      </c>
      <c r="E77" s="55">
        <f t="shared" si="2"/>
        <v>-285000</v>
      </c>
      <c r="F77" s="56">
        <v>260000</v>
      </c>
      <c r="G77" s="56">
        <v>260000</v>
      </c>
      <c r="H77" s="56">
        <v>260000</v>
      </c>
      <c r="I77" s="56">
        <v>260000</v>
      </c>
      <c r="J77" s="56">
        <v>260000</v>
      </c>
      <c r="K77" s="56">
        <v>260000</v>
      </c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>
        <v>0</v>
      </c>
    </row>
    <row r="78" spans="1:53" x14ac:dyDescent="0.25">
      <c r="A78" s="23" t="s">
        <v>576</v>
      </c>
      <c r="B78" s="10" t="s">
        <v>577</v>
      </c>
      <c r="C78" s="9" t="s">
        <v>578</v>
      </c>
      <c r="D78" s="55"/>
      <c r="E78" s="55">
        <f t="shared" si="2"/>
        <v>0</v>
      </c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>
        <v>0</v>
      </c>
    </row>
    <row r="79" spans="1:53" x14ac:dyDescent="0.25">
      <c r="A79" s="23"/>
      <c r="B79" s="10"/>
      <c r="C79" s="9"/>
      <c r="D79" s="55"/>
      <c r="E79" s="55">
        <f t="shared" si="2"/>
        <v>0</v>
      </c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>
        <v>0</v>
      </c>
    </row>
    <row r="80" spans="1:53" x14ac:dyDescent="0.25">
      <c r="A80" s="23"/>
      <c r="B80" s="10"/>
      <c r="C80" s="9"/>
      <c r="D80" s="55"/>
      <c r="E80" s="55">
        <f t="shared" si="2"/>
        <v>0</v>
      </c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>
        <v>0</v>
      </c>
    </row>
    <row r="81" spans="1:53" x14ac:dyDescent="0.25">
      <c r="A81" s="23"/>
      <c r="B81" s="10"/>
      <c r="C81" s="9"/>
      <c r="D81" s="55"/>
      <c r="E81" s="55">
        <f t="shared" si="2"/>
        <v>0</v>
      </c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>
        <v>0</v>
      </c>
    </row>
    <row r="82" spans="1:53" x14ac:dyDescent="0.25">
      <c r="A82" s="23"/>
      <c r="B82" s="10"/>
      <c r="C82" s="9"/>
      <c r="D82" s="55"/>
      <c r="E82" s="55">
        <f t="shared" si="2"/>
        <v>0</v>
      </c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>
        <v>0</v>
      </c>
    </row>
    <row r="83" spans="1:53" x14ac:dyDescent="0.25">
      <c r="A83" s="23"/>
      <c r="B83" s="10"/>
      <c r="C83" s="9"/>
      <c r="D83" s="55"/>
      <c r="E83" s="55">
        <f t="shared" si="2"/>
        <v>0</v>
      </c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>
        <v>0</v>
      </c>
    </row>
    <row r="84" spans="1:53" x14ac:dyDescent="0.25">
      <c r="A84" s="23"/>
      <c r="B84" s="15"/>
      <c r="C84" s="16"/>
      <c r="D84" s="48"/>
      <c r="E84" s="55">
        <f t="shared" si="2"/>
        <v>0</v>
      </c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56">
        <v>0</v>
      </c>
    </row>
    <row r="85" spans="1:53" x14ac:dyDescent="0.25">
      <c r="A85" s="25">
        <v>3</v>
      </c>
      <c r="B85" s="22" t="s">
        <v>25</v>
      </c>
      <c r="C85" s="22"/>
      <c r="D85" s="22"/>
      <c r="E85" s="55">
        <f t="shared" si="2"/>
        <v>0</v>
      </c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56">
        <v>0</v>
      </c>
    </row>
    <row r="86" spans="1:53" ht="25.5" x14ac:dyDescent="0.25">
      <c r="A86" s="23" t="s">
        <v>148</v>
      </c>
      <c r="B86" s="10" t="s">
        <v>308</v>
      </c>
      <c r="C86" s="9" t="s">
        <v>307</v>
      </c>
      <c r="D86" s="55">
        <v>495000</v>
      </c>
      <c r="E86" s="55">
        <f t="shared" si="2"/>
        <v>-495000</v>
      </c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>
        <v>0</v>
      </c>
    </row>
    <row r="87" spans="1:53" x14ac:dyDescent="0.25">
      <c r="A87" s="23" t="s">
        <v>149</v>
      </c>
      <c r="B87" s="10" t="s">
        <v>26</v>
      </c>
      <c r="C87" s="9" t="s">
        <v>309</v>
      </c>
      <c r="D87" s="55">
        <v>20000</v>
      </c>
      <c r="E87" s="55">
        <f t="shared" si="2"/>
        <v>-20000</v>
      </c>
      <c r="F87" s="56">
        <v>15000</v>
      </c>
      <c r="G87" s="56">
        <v>15000</v>
      </c>
      <c r="H87" s="56">
        <v>15000</v>
      </c>
      <c r="I87" s="56">
        <v>15000</v>
      </c>
      <c r="J87" s="56">
        <v>15000</v>
      </c>
      <c r="K87" s="56">
        <v>15000</v>
      </c>
      <c r="L87" s="56"/>
      <c r="M87" s="56">
        <v>20000</v>
      </c>
      <c r="N87" s="56"/>
      <c r="O87" s="56"/>
      <c r="P87" s="56"/>
      <c r="Q87" s="56">
        <v>20000</v>
      </c>
      <c r="R87" s="56"/>
      <c r="S87" s="56"/>
      <c r="T87" s="56">
        <v>15000</v>
      </c>
      <c r="U87" s="56"/>
      <c r="V87" s="56"/>
      <c r="W87" s="56"/>
      <c r="X87" s="56">
        <v>15000</v>
      </c>
      <c r="Y87" s="56">
        <v>15000</v>
      </c>
      <c r="Z87" s="56">
        <v>15000</v>
      </c>
      <c r="AA87" s="56">
        <v>15000</v>
      </c>
      <c r="AB87" s="56">
        <v>15000</v>
      </c>
      <c r="AC87" s="56">
        <v>15000</v>
      </c>
      <c r="AD87" s="56">
        <v>15000</v>
      </c>
      <c r="AE87" s="56"/>
      <c r="AF87" s="56"/>
      <c r="AG87" s="56"/>
      <c r="AH87" s="56">
        <v>15000</v>
      </c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>
        <v>0</v>
      </c>
    </row>
    <row r="88" spans="1:53" x14ac:dyDescent="0.25">
      <c r="A88" s="23" t="s">
        <v>8</v>
      </c>
      <c r="B88" s="10" t="s">
        <v>27</v>
      </c>
      <c r="C88" s="9" t="s">
        <v>579</v>
      </c>
      <c r="D88" s="55">
        <v>45000</v>
      </c>
      <c r="E88" s="55">
        <f t="shared" si="2"/>
        <v>-45000</v>
      </c>
      <c r="F88" s="56">
        <v>24500</v>
      </c>
      <c r="G88" s="56">
        <v>24500</v>
      </c>
      <c r="H88" s="56">
        <v>24500</v>
      </c>
      <c r="I88" s="56">
        <v>24500</v>
      </c>
      <c r="J88" s="56">
        <v>24500</v>
      </c>
      <c r="K88" s="56">
        <v>24500</v>
      </c>
      <c r="L88" s="56"/>
      <c r="M88" s="56">
        <v>28000</v>
      </c>
      <c r="N88" s="56"/>
      <c r="O88" s="56"/>
      <c r="P88" s="56"/>
      <c r="Q88" s="56">
        <v>45000</v>
      </c>
      <c r="R88" s="56"/>
      <c r="S88" s="56"/>
      <c r="T88" s="56">
        <v>24500</v>
      </c>
      <c r="U88" s="56"/>
      <c r="V88" s="56"/>
      <c r="W88" s="56"/>
      <c r="X88" s="56">
        <v>24500</v>
      </c>
      <c r="Y88" s="56">
        <v>35000</v>
      </c>
      <c r="Z88" s="56">
        <v>24500</v>
      </c>
      <c r="AA88" s="56">
        <v>24500</v>
      </c>
      <c r="AB88" s="56">
        <v>24500</v>
      </c>
      <c r="AC88" s="56">
        <v>24500</v>
      </c>
      <c r="AD88" s="56">
        <v>24500</v>
      </c>
      <c r="AE88" s="56"/>
      <c r="AF88" s="56"/>
      <c r="AG88" s="56"/>
      <c r="AH88" s="56">
        <v>24500</v>
      </c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>
        <v>0</v>
      </c>
    </row>
    <row r="89" spans="1:53" x14ac:dyDescent="0.25">
      <c r="A89" s="23" t="s">
        <v>150</v>
      </c>
      <c r="B89" s="10" t="s">
        <v>28</v>
      </c>
      <c r="C89" s="9" t="s">
        <v>310</v>
      </c>
      <c r="D89" s="55">
        <v>90000</v>
      </c>
      <c r="E89" s="55">
        <f t="shared" si="2"/>
        <v>-90000</v>
      </c>
      <c r="F89" s="56">
        <v>45000</v>
      </c>
      <c r="G89" s="56">
        <v>45000</v>
      </c>
      <c r="H89" s="56">
        <v>45000</v>
      </c>
      <c r="I89" s="56">
        <v>45000</v>
      </c>
      <c r="J89" s="56">
        <v>45000</v>
      </c>
      <c r="K89" s="56">
        <v>45000</v>
      </c>
      <c r="L89" s="56"/>
      <c r="M89" s="56">
        <v>80000</v>
      </c>
      <c r="N89" s="56"/>
      <c r="O89" s="56"/>
      <c r="P89" s="56"/>
      <c r="Q89" s="56">
        <v>95000</v>
      </c>
      <c r="R89" s="56"/>
      <c r="S89" s="56"/>
      <c r="T89" s="56">
        <v>45000</v>
      </c>
      <c r="U89" s="56"/>
      <c r="V89" s="56"/>
      <c r="W89" s="56"/>
      <c r="X89" s="56">
        <v>45000</v>
      </c>
      <c r="Y89" s="56"/>
      <c r="Z89" s="56">
        <v>45000</v>
      </c>
      <c r="AA89" s="56">
        <v>45000</v>
      </c>
      <c r="AB89" s="56">
        <v>45000</v>
      </c>
      <c r="AC89" s="56">
        <v>45000</v>
      </c>
      <c r="AD89" s="56">
        <v>45000</v>
      </c>
      <c r="AE89" s="56"/>
      <c r="AF89" s="56"/>
      <c r="AG89" s="56"/>
      <c r="AH89" s="56">
        <v>45000</v>
      </c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>
        <v>0</v>
      </c>
    </row>
    <row r="90" spans="1:53" x14ac:dyDescent="0.25">
      <c r="A90" s="23" t="s">
        <v>151</v>
      </c>
      <c r="B90" s="10" t="s">
        <v>29</v>
      </c>
      <c r="C90" s="9" t="s">
        <v>311</v>
      </c>
      <c r="D90" s="55">
        <v>60000</v>
      </c>
      <c r="E90" s="55">
        <f t="shared" si="2"/>
        <v>-60000</v>
      </c>
      <c r="F90" s="56">
        <v>40000</v>
      </c>
      <c r="G90" s="56">
        <v>40000</v>
      </c>
      <c r="H90" s="56">
        <v>40000</v>
      </c>
      <c r="I90" s="56">
        <v>40000</v>
      </c>
      <c r="J90" s="56">
        <v>40000</v>
      </c>
      <c r="K90" s="56">
        <v>40000</v>
      </c>
      <c r="L90" s="56"/>
      <c r="M90" s="56">
        <v>58500</v>
      </c>
      <c r="N90" s="56"/>
      <c r="O90" s="56"/>
      <c r="P90" s="56"/>
      <c r="Q90" s="56">
        <v>60000</v>
      </c>
      <c r="R90" s="56"/>
      <c r="S90" s="56"/>
      <c r="T90" s="56">
        <v>40000</v>
      </c>
      <c r="U90" s="56"/>
      <c r="V90" s="56"/>
      <c r="W90" s="56"/>
      <c r="X90" s="56">
        <v>40000</v>
      </c>
      <c r="Y90" s="56"/>
      <c r="Z90" s="56">
        <v>40000</v>
      </c>
      <c r="AA90" s="56">
        <v>40000</v>
      </c>
      <c r="AB90" s="56">
        <v>40000</v>
      </c>
      <c r="AC90" s="56">
        <v>40000</v>
      </c>
      <c r="AD90" s="56">
        <v>40000</v>
      </c>
      <c r="AE90" s="56"/>
      <c r="AF90" s="56"/>
      <c r="AG90" s="56"/>
      <c r="AH90" s="56">
        <v>40000</v>
      </c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>
        <v>0</v>
      </c>
    </row>
    <row r="91" spans="1:53" x14ac:dyDescent="0.25">
      <c r="A91" s="23" t="s">
        <v>152</v>
      </c>
      <c r="B91" s="10" t="s">
        <v>30</v>
      </c>
      <c r="C91" s="9" t="s">
        <v>268</v>
      </c>
      <c r="D91" s="55">
        <v>130000</v>
      </c>
      <c r="E91" s="55">
        <f t="shared" si="2"/>
        <v>-130000</v>
      </c>
      <c r="F91" s="56">
        <v>100000</v>
      </c>
      <c r="G91" s="56">
        <v>100000</v>
      </c>
      <c r="H91" s="56">
        <v>100000</v>
      </c>
      <c r="I91" s="56">
        <v>100000</v>
      </c>
      <c r="J91" s="56">
        <v>100000</v>
      </c>
      <c r="K91" s="56">
        <v>100000</v>
      </c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>
        <v>100000</v>
      </c>
      <c r="AB91" s="56">
        <v>100000</v>
      </c>
      <c r="AC91" s="56">
        <v>100000</v>
      </c>
      <c r="AD91" s="56">
        <v>100000</v>
      </c>
      <c r="AE91" s="56"/>
      <c r="AF91" s="56"/>
      <c r="AG91" s="56"/>
      <c r="AH91" s="56">
        <v>100000</v>
      </c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>
        <v>0</v>
      </c>
    </row>
    <row r="92" spans="1:53" x14ac:dyDescent="0.25">
      <c r="A92" s="23" t="s">
        <v>153</v>
      </c>
      <c r="B92" s="10" t="s">
        <v>31</v>
      </c>
      <c r="C92" s="9" t="s">
        <v>312</v>
      </c>
      <c r="D92" s="55">
        <v>78000</v>
      </c>
      <c r="E92" s="55">
        <f t="shared" si="2"/>
        <v>-78000</v>
      </c>
      <c r="F92" s="56">
        <v>78000</v>
      </c>
      <c r="G92" s="56">
        <v>78000</v>
      </c>
      <c r="H92" s="56"/>
      <c r="I92" s="56"/>
      <c r="J92" s="56">
        <v>78000</v>
      </c>
      <c r="K92" s="56">
        <v>78000</v>
      </c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>
        <v>78000</v>
      </c>
      <c r="Y92" s="56"/>
      <c r="Z92" s="56"/>
      <c r="AA92" s="56">
        <v>78000</v>
      </c>
      <c r="AB92" s="56">
        <v>78000</v>
      </c>
      <c r="AC92" s="56">
        <v>78000</v>
      </c>
      <c r="AD92" s="56">
        <v>78000</v>
      </c>
      <c r="AE92" s="56"/>
      <c r="AF92" s="56"/>
      <c r="AG92" s="56"/>
      <c r="AH92" s="56">
        <v>78000</v>
      </c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>
        <v>0</v>
      </c>
    </row>
    <row r="93" spans="1:53" x14ac:dyDescent="0.25">
      <c r="A93" s="23" t="s">
        <v>154</v>
      </c>
      <c r="B93" s="10" t="s">
        <v>32</v>
      </c>
      <c r="C93" s="9" t="s">
        <v>580</v>
      </c>
      <c r="D93" s="55">
        <v>125000</v>
      </c>
      <c r="E93" s="55">
        <f t="shared" si="2"/>
        <v>-125000</v>
      </c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>
        <v>0</v>
      </c>
    </row>
    <row r="94" spans="1:53" ht="25.5" x14ac:dyDescent="0.25">
      <c r="A94" s="23" t="s">
        <v>155</v>
      </c>
      <c r="B94" s="10" t="s">
        <v>33</v>
      </c>
      <c r="C94" s="9" t="s">
        <v>581</v>
      </c>
      <c r="D94" s="55">
        <v>40000</v>
      </c>
      <c r="E94" s="55">
        <f t="shared" si="2"/>
        <v>-40000</v>
      </c>
      <c r="F94" s="56">
        <v>32000</v>
      </c>
      <c r="G94" s="56">
        <v>32000</v>
      </c>
      <c r="H94" s="56"/>
      <c r="I94" s="56"/>
      <c r="J94" s="56">
        <v>32000</v>
      </c>
      <c r="K94" s="56">
        <v>32000</v>
      </c>
      <c r="L94" s="56"/>
      <c r="M94" s="56">
        <v>42000</v>
      </c>
      <c r="N94" s="56"/>
      <c r="O94" s="56"/>
      <c r="P94" s="56"/>
      <c r="Q94" s="56">
        <v>40000</v>
      </c>
      <c r="R94" s="56"/>
      <c r="S94" s="56"/>
      <c r="T94" s="56">
        <v>32000</v>
      </c>
      <c r="U94" s="56"/>
      <c r="V94" s="56"/>
      <c r="W94" s="56"/>
      <c r="X94" s="56">
        <v>32000</v>
      </c>
      <c r="Y94" s="56">
        <v>35000</v>
      </c>
      <c r="Z94" s="56"/>
      <c r="AA94" s="56">
        <v>32000</v>
      </c>
      <c r="AB94" s="56">
        <v>32000</v>
      </c>
      <c r="AC94" s="56">
        <v>32000</v>
      </c>
      <c r="AD94" s="56">
        <v>32000</v>
      </c>
      <c r="AE94" s="56"/>
      <c r="AF94" s="56"/>
      <c r="AG94" s="56"/>
      <c r="AH94" s="56">
        <v>32000</v>
      </c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>
        <v>0</v>
      </c>
    </row>
    <row r="95" spans="1:53" x14ac:dyDescent="0.25">
      <c r="A95" s="23" t="s">
        <v>313</v>
      </c>
      <c r="B95" s="10" t="s">
        <v>582</v>
      </c>
      <c r="C95" s="9" t="s">
        <v>268</v>
      </c>
      <c r="D95" s="49">
        <v>1350000</v>
      </c>
      <c r="E95" s="55">
        <f t="shared" si="2"/>
        <v>-1350000</v>
      </c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  <c r="AX95" s="17"/>
      <c r="AY95" s="17"/>
      <c r="AZ95" s="17"/>
      <c r="BA95" s="56">
        <v>0</v>
      </c>
    </row>
    <row r="96" spans="1:53" x14ac:dyDescent="0.25">
      <c r="A96" s="23" t="s">
        <v>314</v>
      </c>
      <c r="B96" s="10" t="s">
        <v>315</v>
      </c>
      <c r="C96" s="9" t="s">
        <v>316</v>
      </c>
      <c r="D96" s="49">
        <v>50000</v>
      </c>
      <c r="E96" s="55">
        <f t="shared" si="2"/>
        <v>-50000</v>
      </c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>
        <v>21250</v>
      </c>
      <c r="AB96" s="17">
        <v>21250</v>
      </c>
      <c r="AC96" s="17">
        <v>21250</v>
      </c>
      <c r="AD96" s="17">
        <v>21250</v>
      </c>
      <c r="AE96" s="17"/>
      <c r="AF96" s="17"/>
      <c r="AG96" s="17"/>
      <c r="AH96" s="17">
        <v>21250</v>
      </c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  <c r="AX96" s="17"/>
      <c r="AY96" s="17"/>
      <c r="AZ96" s="17"/>
      <c r="BA96" s="56">
        <v>0</v>
      </c>
    </row>
    <row r="97" spans="1:53" ht="25.5" x14ac:dyDescent="0.25">
      <c r="A97" s="23" t="s">
        <v>317</v>
      </c>
      <c r="B97" s="10" t="s">
        <v>318</v>
      </c>
      <c r="C97" s="9" t="s">
        <v>316</v>
      </c>
      <c r="D97" s="49">
        <v>61500</v>
      </c>
      <c r="E97" s="55">
        <f t="shared" si="2"/>
        <v>-61500</v>
      </c>
      <c r="F97" s="17">
        <v>47000</v>
      </c>
      <c r="G97" s="17">
        <v>47000</v>
      </c>
      <c r="H97" s="17">
        <v>47000</v>
      </c>
      <c r="I97" s="17">
        <v>47000</v>
      </c>
      <c r="J97" s="17">
        <v>47000</v>
      </c>
      <c r="K97" s="17">
        <v>47000</v>
      </c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>
        <v>47000</v>
      </c>
      <c r="Y97" s="17"/>
      <c r="Z97" s="17">
        <v>47000</v>
      </c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  <c r="AX97" s="17"/>
      <c r="AY97" s="17"/>
      <c r="AZ97" s="17"/>
      <c r="BA97" s="56">
        <v>0</v>
      </c>
    </row>
    <row r="98" spans="1:53" ht="25.5" x14ac:dyDescent="0.25">
      <c r="A98" s="23" t="s">
        <v>429</v>
      </c>
      <c r="B98" s="10" t="s">
        <v>427</v>
      </c>
      <c r="C98" s="9" t="s">
        <v>428</v>
      </c>
      <c r="D98" s="49">
        <v>100000</v>
      </c>
      <c r="E98" s="55">
        <f t="shared" si="2"/>
        <v>-100000</v>
      </c>
      <c r="F98" s="17"/>
      <c r="G98" s="17">
        <v>25000</v>
      </c>
      <c r="H98" s="17"/>
      <c r="I98" s="17"/>
      <c r="J98" s="17">
        <v>25000</v>
      </c>
      <c r="K98" s="17">
        <v>25000</v>
      </c>
      <c r="L98" s="17"/>
      <c r="M98" s="17">
        <v>97500</v>
      </c>
      <c r="N98" s="17"/>
      <c r="O98" s="17"/>
      <c r="P98" s="17"/>
      <c r="Q98" s="17">
        <v>100000</v>
      </c>
      <c r="R98" s="17"/>
      <c r="S98" s="17"/>
      <c r="T98" s="17">
        <v>25000</v>
      </c>
      <c r="U98" s="17"/>
      <c r="V98" s="17"/>
      <c r="W98" s="17"/>
      <c r="X98" s="17">
        <v>25000</v>
      </c>
      <c r="Y98" s="17"/>
      <c r="Z98" s="17"/>
      <c r="AA98" s="17">
        <v>21250</v>
      </c>
      <c r="AB98" s="17">
        <v>21250</v>
      </c>
      <c r="AC98" s="17">
        <v>21250</v>
      </c>
      <c r="AD98" s="17">
        <v>21250</v>
      </c>
      <c r="AE98" s="17"/>
      <c r="AF98" s="17"/>
      <c r="AG98" s="17"/>
      <c r="AH98" s="17">
        <v>21250</v>
      </c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  <c r="AX98" s="17"/>
      <c r="AY98" s="17"/>
      <c r="AZ98" s="17"/>
      <c r="BA98" s="56">
        <v>0</v>
      </c>
    </row>
    <row r="99" spans="1:53" x14ac:dyDescent="0.25">
      <c r="A99" s="23" t="s">
        <v>431</v>
      </c>
      <c r="B99" s="10" t="s">
        <v>432</v>
      </c>
      <c r="C99" s="9" t="s">
        <v>433</v>
      </c>
      <c r="D99" s="49">
        <v>45000</v>
      </c>
      <c r="E99" s="55">
        <f t="shared" si="2"/>
        <v>-45000</v>
      </c>
      <c r="F99" s="17">
        <v>32000</v>
      </c>
      <c r="G99" s="17">
        <v>32000</v>
      </c>
      <c r="H99" s="17">
        <v>32000</v>
      </c>
      <c r="I99" s="17">
        <v>32000</v>
      </c>
      <c r="J99" s="17">
        <v>32000</v>
      </c>
      <c r="K99" s="17">
        <v>32000</v>
      </c>
      <c r="L99" s="17"/>
      <c r="M99" s="17"/>
      <c r="N99" s="17">
        <v>35000</v>
      </c>
      <c r="O99" s="17"/>
      <c r="P99" s="17"/>
      <c r="Q99" s="17"/>
      <c r="R99" s="17"/>
      <c r="S99" s="17"/>
      <c r="T99" s="17"/>
      <c r="U99" s="17"/>
      <c r="V99" s="17"/>
      <c r="W99" s="17"/>
      <c r="X99" s="17">
        <v>32000</v>
      </c>
      <c r="Y99" s="17"/>
      <c r="Z99" s="17">
        <v>32000</v>
      </c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  <c r="AX99" s="17"/>
      <c r="AY99" s="17"/>
      <c r="AZ99" s="17"/>
      <c r="BA99" s="56">
        <v>0</v>
      </c>
    </row>
    <row r="100" spans="1:53" x14ac:dyDescent="0.25">
      <c r="A100" s="23" t="s">
        <v>464</v>
      </c>
      <c r="B100" s="10" t="s">
        <v>470</v>
      </c>
      <c r="C100" s="9" t="s">
        <v>471</v>
      </c>
      <c r="D100" s="49">
        <v>35000</v>
      </c>
      <c r="E100" s="55">
        <f t="shared" si="2"/>
        <v>-35000</v>
      </c>
      <c r="F100" s="17">
        <v>28000</v>
      </c>
      <c r="G100" s="17">
        <v>28000</v>
      </c>
      <c r="H100" s="17">
        <v>28000</v>
      </c>
      <c r="I100" s="17">
        <v>28000</v>
      </c>
      <c r="J100" s="17">
        <v>28000</v>
      </c>
      <c r="K100" s="17">
        <v>28000</v>
      </c>
      <c r="L100" s="17">
        <v>35000</v>
      </c>
      <c r="M100" s="17"/>
      <c r="N100" s="17">
        <v>35000</v>
      </c>
      <c r="O100" s="17"/>
      <c r="P100" s="17"/>
      <c r="Q100" s="17">
        <v>35000</v>
      </c>
      <c r="R100" s="17"/>
      <c r="S100" s="17"/>
      <c r="T100" s="17"/>
      <c r="U100" s="17"/>
      <c r="V100" s="17"/>
      <c r="W100" s="17"/>
      <c r="X100" s="17">
        <v>28000</v>
      </c>
      <c r="Y100" s="17"/>
      <c r="Z100" s="17">
        <v>28000</v>
      </c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  <c r="AX100" s="17"/>
      <c r="AY100" s="17"/>
      <c r="AZ100" s="17"/>
      <c r="BA100" s="56">
        <v>0</v>
      </c>
    </row>
    <row r="101" spans="1:53" x14ac:dyDescent="0.25">
      <c r="A101" s="23" t="s">
        <v>472</v>
      </c>
      <c r="B101" s="10" t="s">
        <v>473</v>
      </c>
      <c r="C101" s="9" t="s">
        <v>471</v>
      </c>
      <c r="D101" s="49">
        <v>26000</v>
      </c>
      <c r="E101" s="55">
        <f t="shared" si="2"/>
        <v>-26000</v>
      </c>
      <c r="F101" s="17">
        <v>26000</v>
      </c>
      <c r="G101" s="17">
        <v>26000</v>
      </c>
      <c r="H101" s="17">
        <v>26000</v>
      </c>
      <c r="I101" s="17">
        <v>26000</v>
      </c>
      <c r="J101" s="17">
        <v>26000</v>
      </c>
      <c r="K101" s="17">
        <v>26000</v>
      </c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>
        <v>26000</v>
      </c>
      <c r="Y101" s="17"/>
      <c r="Z101" s="17">
        <v>26000</v>
      </c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  <c r="AX101" s="17"/>
      <c r="AY101" s="17"/>
      <c r="AZ101" s="17"/>
      <c r="BA101" s="56">
        <v>0</v>
      </c>
    </row>
    <row r="102" spans="1:53" ht="38.25" x14ac:dyDescent="0.25">
      <c r="A102" s="23" t="s">
        <v>474</v>
      </c>
      <c r="B102" s="10" t="s">
        <v>475</v>
      </c>
      <c r="C102" s="9" t="s">
        <v>476</v>
      </c>
      <c r="D102" s="17">
        <v>35000</v>
      </c>
      <c r="E102" s="55">
        <f t="shared" si="2"/>
        <v>-35000</v>
      </c>
      <c r="F102" s="17"/>
      <c r="G102" s="17"/>
      <c r="H102" s="17"/>
      <c r="I102" s="17"/>
      <c r="J102" s="17"/>
      <c r="K102" s="17"/>
      <c r="L102" s="17"/>
      <c r="M102" s="17">
        <v>55000</v>
      </c>
      <c r="N102" s="17"/>
      <c r="O102" s="17"/>
      <c r="P102" s="17"/>
      <c r="Q102" s="17">
        <v>35000</v>
      </c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  <c r="AX102" s="17"/>
      <c r="AY102" s="17"/>
      <c r="AZ102" s="17"/>
      <c r="BA102" s="56">
        <v>0</v>
      </c>
    </row>
    <row r="103" spans="1:53" x14ac:dyDescent="0.25">
      <c r="A103" s="23" t="s">
        <v>516</v>
      </c>
      <c r="B103" s="10" t="s">
        <v>583</v>
      </c>
      <c r="C103" s="9" t="s">
        <v>584</v>
      </c>
      <c r="D103" s="49">
        <v>1400000</v>
      </c>
      <c r="E103" s="55">
        <f t="shared" si="2"/>
        <v>-1400000</v>
      </c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  <c r="AX103" s="17"/>
      <c r="AY103" s="17"/>
      <c r="AZ103" s="17"/>
      <c r="BA103" s="56">
        <v>0</v>
      </c>
    </row>
    <row r="104" spans="1:53" ht="25.5" x14ac:dyDescent="0.25">
      <c r="A104" s="23" t="s">
        <v>517</v>
      </c>
      <c r="B104" s="10" t="s">
        <v>585</v>
      </c>
      <c r="C104" s="9" t="s">
        <v>586</v>
      </c>
      <c r="D104" s="49">
        <v>1580000</v>
      </c>
      <c r="E104" s="55">
        <f t="shared" si="2"/>
        <v>-1580000</v>
      </c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  <c r="AX104" s="17"/>
      <c r="AY104" s="17"/>
      <c r="AZ104" s="17"/>
      <c r="BA104" s="56">
        <v>0</v>
      </c>
    </row>
    <row r="105" spans="1:53" x14ac:dyDescent="0.25">
      <c r="A105" s="23" t="s">
        <v>587</v>
      </c>
      <c r="B105" s="10" t="s">
        <v>588</v>
      </c>
      <c r="C105" s="9" t="s">
        <v>589</v>
      </c>
      <c r="D105" s="49">
        <v>195000</v>
      </c>
      <c r="E105" s="55">
        <f t="shared" si="2"/>
        <v>-195000</v>
      </c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  <c r="AX105" s="17"/>
      <c r="AY105" s="17"/>
      <c r="AZ105" s="17"/>
      <c r="BA105" s="56">
        <v>0</v>
      </c>
    </row>
    <row r="106" spans="1:53" x14ac:dyDescent="0.25">
      <c r="A106" s="23" t="s">
        <v>590</v>
      </c>
      <c r="B106" s="10" t="s">
        <v>591</v>
      </c>
      <c r="C106" s="9" t="s">
        <v>592</v>
      </c>
      <c r="D106" s="49">
        <v>2350000</v>
      </c>
      <c r="E106" s="55">
        <f t="shared" si="2"/>
        <v>-2350000</v>
      </c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  <c r="AX106" s="17"/>
      <c r="AY106" s="17"/>
      <c r="AZ106" s="17"/>
      <c r="BA106" s="56">
        <v>0</v>
      </c>
    </row>
    <row r="107" spans="1:53" x14ac:dyDescent="0.25">
      <c r="A107" s="23" t="s">
        <v>593</v>
      </c>
      <c r="B107" s="10" t="s">
        <v>594</v>
      </c>
      <c r="C107" s="9" t="s">
        <v>595</v>
      </c>
      <c r="D107" s="49">
        <v>75000</v>
      </c>
      <c r="E107" s="55">
        <f t="shared" si="2"/>
        <v>-75000</v>
      </c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>
        <v>70000</v>
      </c>
      <c r="X107" s="17"/>
      <c r="Y107" s="17">
        <v>70000</v>
      </c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  <c r="AX107" s="17"/>
      <c r="AY107" s="17"/>
      <c r="AZ107" s="17"/>
      <c r="BA107" s="56">
        <v>0</v>
      </c>
    </row>
    <row r="108" spans="1:53" x14ac:dyDescent="0.25">
      <c r="A108" s="23" t="s">
        <v>596</v>
      </c>
      <c r="B108" s="10" t="s">
        <v>597</v>
      </c>
      <c r="C108" s="9" t="s">
        <v>598</v>
      </c>
      <c r="D108" s="49">
        <v>130000</v>
      </c>
      <c r="E108" s="55">
        <f t="shared" si="2"/>
        <v>-130000</v>
      </c>
      <c r="F108" s="17">
        <v>160000</v>
      </c>
      <c r="G108" s="17">
        <v>160000</v>
      </c>
      <c r="H108" s="17">
        <v>160000</v>
      </c>
      <c r="I108" s="17">
        <v>160000</v>
      </c>
      <c r="J108" s="17">
        <v>160000</v>
      </c>
      <c r="K108" s="17">
        <v>160000</v>
      </c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>
        <v>120000</v>
      </c>
      <c r="X108" s="17"/>
      <c r="Y108" s="17">
        <v>120000</v>
      </c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  <c r="AX108" s="17"/>
      <c r="AY108" s="17"/>
      <c r="AZ108" s="17"/>
      <c r="BA108" s="56">
        <v>0</v>
      </c>
    </row>
    <row r="109" spans="1:53" x14ac:dyDescent="0.25">
      <c r="A109" s="23" t="s">
        <v>599</v>
      </c>
      <c r="B109" s="10" t="s">
        <v>600</v>
      </c>
      <c r="C109" s="9" t="s">
        <v>598</v>
      </c>
      <c r="D109" s="49">
        <v>130000</v>
      </c>
      <c r="E109" s="55">
        <f t="shared" si="2"/>
        <v>-130000</v>
      </c>
      <c r="F109" s="17">
        <v>160000</v>
      </c>
      <c r="G109" s="17">
        <v>160000</v>
      </c>
      <c r="H109" s="17">
        <v>160000</v>
      </c>
      <c r="I109" s="17">
        <v>160000</v>
      </c>
      <c r="J109" s="17">
        <v>160000</v>
      </c>
      <c r="K109" s="17">
        <v>160000</v>
      </c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>
        <v>130000</v>
      </c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  <c r="AX109" s="17"/>
      <c r="AY109" s="17"/>
      <c r="AZ109" s="17"/>
      <c r="BA109" s="56">
        <v>0</v>
      </c>
    </row>
    <row r="110" spans="1:53" x14ac:dyDescent="0.25">
      <c r="A110" s="23" t="s">
        <v>601</v>
      </c>
      <c r="B110" s="10" t="s">
        <v>602</v>
      </c>
      <c r="C110" s="9" t="s">
        <v>603</v>
      </c>
      <c r="D110" s="49">
        <v>60000</v>
      </c>
      <c r="E110" s="55">
        <f t="shared" si="2"/>
        <v>-60000</v>
      </c>
      <c r="F110" s="17">
        <v>45000</v>
      </c>
      <c r="G110" s="17">
        <v>45000</v>
      </c>
      <c r="H110" s="17">
        <v>45000</v>
      </c>
      <c r="I110" s="17">
        <v>45000</v>
      </c>
      <c r="J110" s="17">
        <v>45000</v>
      </c>
      <c r="K110" s="17">
        <v>45000</v>
      </c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>
        <v>45000</v>
      </c>
      <c r="X110" s="17">
        <v>45000</v>
      </c>
      <c r="Y110" s="17">
        <v>45000</v>
      </c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  <c r="AX110" s="17"/>
      <c r="AY110" s="17"/>
      <c r="AZ110" s="17"/>
      <c r="BA110" s="56">
        <v>0</v>
      </c>
    </row>
    <row r="111" spans="1:53" x14ac:dyDescent="0.25">
      <c r="A111" s="23" t="s">
        <v>604</v>
      </c>
      <c r="B111" s="10" t="s">
        <v>605</v>
      </c>
      <c r="C111" s="9" t="s">
        <v>268</v>
      </c>
      <c r="D111" s="49">
        <v>25000</v>
      </c>
      <c r="E111" s="55">
        <f t="shared" si="2"/>
        <v>-25000</v>
      </c>
      <c r="F111" s="17">
        <v>15000</v>
      </c>
      <c r="G111" s="17">
        <v>15000</v>
      </c>
      <c r="H111" s="17">
        <v>15000</v>
      </c>
      <c r="I111" s="17">
        <v>15000</v>
      </c>
      <c r="J111" s="17">
        <v>15000</v>
      </c>
      <c r="K111" s="17">
        <v>15000</v>
      </c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>
        <v>15000</v>
      </c>
      <c r="X111" s="17">
        <v>15000</v>
      </c>
      <c r="Y111" s="17"/>
      <c r="Z111" s="17">
        <v>15000</v>
      </c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  <c r="AX111" s="17"/>
      <c r="AY111" s="17"/>
      <c r="AZ111" s="17"/>
      <c r="BA111" s="56">
        <v>0</v>
      </c>
    </row>
    <row r="112" spans="1:53" ht="25.5" x14ac:dyDescent="0.25">
      <c r="A112" s="23" t="s">
        <v>606</v>
      </c>
      <c r="B112" s="10" t="s">
        <v>607</v>
      </c>
      <c r="C112" s="9" t="s">
        <v>608</v>
      </c>
      <c r="D112" s="49"/>
      <c r="E112" s="55">
        <f t="shared" si="2"/>
        <v>0</v>
      </c>
      <c r="F112" s="17">
        <v>15000</v>
      </c>
      <c r="G112" s="17">
        <v>15000</v>
      </c>
      <c r="H112" s="17">
        <v>15000</v>
      </c>
      <c r="I112" s="17">
        <v>15000</v>
      </c>
      <c r="J112" s="17">
        <v>15000</v>
      </c>
      <c r="K112" s="17">
        <v>15000</v>
      </c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>
        <v>15000</v>
      </c>
      <c r="Y112" s="17"/>
      <c r="Z112" s="17">
        <v>15000</v>
      </c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  <c r="AX112" s="17"/>
      <c r="AY112" s="17"/>
      <c r="AZ112" s="17"/>
      <c r="BA112" s="56">
        <v>0</v>
      </c>
    </row>
    <row r="113" spans="1:53" ht="25.5" x14ac:dyDescent="0.25">
      <c r="A113" s="23" t="s">
        <v>609</v>
      </c>
      <c r="B113" s="10" t="s">
        <v>610</v>
      </c>
      <c r="C113" s="9" t="s">
        <v>611</v>
      </c>
      <c r="D113" s="49"/>
      <c r="E113" s="55">
        <f t="shared" si="2"/>
        <v>0</v>
      </c>
      <c r="F113" s="17">
        <v>15000</v>
      </c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>
        <v>15000</v>
      </c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  <c r="AX113" s="17"/>
      <c r="AY113" s="17"/>
      <c r="AZ113" s="17"/>
      <c r="BA113" s="56">
        <v>0</v>
      </c>
    </row>
    <row r="114" spans="1:53" x14ac:dyDescent="0.25">
      <c r="A114" s="23" t="s">
        <v>612</v>
      </c>
      <c r="B114" s="10" t="s">
        <v>613</v>
      </c>
      <c r="C114" s="9" t="s">
        <v>614</v>
      </c>
      <c r="D114" s="49">
        <v>130000</v>
      </c>
      <c r="E114" s="55">
        <f t="shared" si="2"/>
        <v>-130000</v>
      </c>
      <c r="F114" s="17">
        <v>96000</v>
      </c>
      <c r="G114" s="17">
        <v>96000</v>
      </c>
      <c r="H114" s="17">
        <v>96000</v>
      </c>
      <c r="I114" s="17">
        <v>96000</v>
      </c>
      <c r="J114" s="17">
        <v>96000</v>
      </c>
      <c r="K114" s="17">
        <v>96000</v>
      </c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>
        <v>96000</v>
      </c>
      <c r="Y114" s="17">
        <v>96000</v>
      </c>
      <c r="Z114" s="17">
        <v>96000</v>
      </c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  <c r="AX114" s="17"/>
      <c r="AY114" s="17"/>
      <c r="AZ114" s="17"/>
      <c r="BA114" s="56">
        <v>0</v>
      </c>
    </row>
    <row r="115" spans="1:53" x14ac:dyDescent="0.25">
      <c r="A115" s="23" t="s">
        <v>615</v>
      </c>
      <c r="B115" s="10" t="s">
        <v>616</v>
      </c>
      <c r="C115" s="9" t="s">
        <v>617</v>
      </c>
      <c r="D115" s="49">
        <v>185000</v>
      </c>
      <c r="E115" s="55">
        <f t="shared" si="2"/>
        <v>-185000</v>
      </c>
      <c r="F115" s="17">
        <v>155000</v>
      </c>
      <c r="G115" s="17">
        <v>155000</v>
      </c>
      <c r="H115" s="17">
        <v>155000</v>
      </c>
      <c r="I115" s="17">
        <v>155000</v>
      </c>
      <c r="J115" s="17">
        <v>155000</v>
      </c>
      <c r="K115" s="17">
        <v>155000</v>
      </c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>
        <v>155000</v>
      </c>
      <c r="Y115" s="17"/>
      <c r="Z115" s="17">
        <v>155000</v>
      </c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  <c r="AX115" s="17"/>
      <c r="AY115" s="17"/>
      <c r="AZ115" s="17"/>
      <c r="BA115" s="56">
        <v>0</v>
      </c>
    </row>
    <row r="116" spans="1:53" x14ac:dyDescent="0.25">
      <c r="A116" s="23" t="s">
        <v>618</v>
      </c>
      <c r="B116" s="10" t="s">
        <v>619</v>
      </c>
      <c r="C116" s="9" t="s">
        <v>620</v>
      </c>
      <c r="D116" s="49">
        <v>230000</v>
      </c>
      <c r="E116" s="55">
        <f t="shared" si="2"/>
        <v>-230000</v>
      </c>
      <c r="F116" s="17">
        <v>210000</v>
      </c>
      <c r="G116" s="17">
        <v>210000</v>
      </c>
      <c r="H116" s="17">
        <v>210000</v>
      </c>
      <c r="I116" s="17">
        <v>210000</v>
      </c>
      <c r="J116" s="17">
        <v>210000</v>
      </c>
      <c r="K116" s="17">
        <v>210000</v>
      </c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>
        <v>210000</v>
      </c>
      <c r="Y116" s="17"/>
      <c r="Z116" s="17">
        <v>210000</v>
      </c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  <c r="AX116" s="17"/>
      <c r="AY116" s="17"/>
      <c r="AZ116" s="17"/>
      <c r="BA116" s="56">
        <v>0</v>
      </c>
    </row>
    <row r="117" spans="1:53" x14ac:dyDescent="0.25">
      <c r="A117" s="23" t="s">
        <v>621</v>
      </c>
      <c r="B117" s="10" t="s">
        <v>622</v>
      </c>
      <c r="C117" s="9" t="s">
        <v>623</v>
      </c>
      <c r="D117" s="49">
        <v>135000</v>
      </c>
      <c r="E117" s="55">
        <f t="shared" si="2"/>
        <v>-135000</v>
      </c>
      <c r="F117" s="17">
        <v>120000</v>
      </c>
      <c r="G117" s="17">
        <v>120000</v>
      </c>
      <c r="H117" s="17">
        <v>120000</v>
      </c>
      <c r="I117" s="17">
        <v>120000</v>
      </c>
      <c r="J117" s="17">
        <v>120000</v>
      </c>
      <c r="K117" s="17">
        <v>120000</v>
      </c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>
        <v>120000</v>
      </c>
      <c r="Y117" s="17"/>
      <c r="Z117" s="17">
        <v>120000</v>
      </c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  <c r="AX117" s="17"/>
      <c r="AY117" s="17"/>
      <c r="AZ117" s="17"/>
      <c r="BA117" s="56">
        <v>0</v>
      </c>
    </row>
    <row r="118" spans="1:53" x14ac:dyDescent="0.25">
      <c r="A118" s="23" t="s">
        <v>624</v>
      </c>
      <c r="B118" s="10" t="s">
        <v>625</v>
      </c>
      <c r="C118" s="9" t="s">
        <v>626</v>
      </c>
      <c r="D118" s="49">
        <v>95000</v>
      </c>
      <c r="E118" s="55">
        <f t="shared" si="2"/>
        <v>-95000</v>
      </c>
      <c r="F118" s="17">
        <v>80000</v>
      </c>
      <c r="G118" s="17">
        <v>80000</v>
      </c>
      <c r="H118" s="17">
        <v>80000</v>
      </c>
      <c r="I118" s="17">
        <v>80000</v>
      </c>
      <c r="J118" s="17">
        <v>80000</v>
      </c>
      <c r="K118" s="17">
        <v>80000</v>
      </c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>
        <v>80000</v>
      </c>
      <c r="Y118" s="17">
        <v>80000</v>
      </c>
      <c r="Z118" s="17">
        <v>80000</v>
      </c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  <c r="AX118" s="17"/>
      <c r="AY118" s="17"/>
      <c r="AZ118" s="17"/>
      <c r="BA118" s="56">
        <v>0</v>
      </c>
    </row>
    <row r="119" spans="1:53" ht="25.5" x14ac:dyDescent="0.25">
      <c r="A119" s="23" t="s">
        <v>627</v>
      </c>
      <c r="B119" s="10" t="s">
        <v>628</v>
      </c>
      <c r="C119" s="9" t="s">
        <v>629</v>
      </c>
      <c r="D119" s="49">
        <v>25000</v>
      </c>
      <c r="E119" s="55">
        <f t="shared" si="2"/>
        <v>-25000</v>
      </c>
      <c r="F119" s="17">
        <v>25000</v>
      </c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>
        <v>25000</v>
      </c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  <c r="AX119" s="17"/>
      <c r="AY119" s="17"/>
      <c r="AZ119" s="17"/>
      <c r="BA119" s="56">
        <v>0</v>
      </c>
    </row>
    <row r="120" spans="1:53" x14ac:dyDescent="0.25">
      <c r="A120" s="23" t="s">
        <v>630</v>
      </c>
      <c r="B120" s="10" t="s">
        <v>631</v>
      </c>
      <c r="C120" s="9" t="s">
        <v>632</v>
      </c>
      <c r="D120" s="49">
        <v>25000</v>
      </c>
      <c r="E120" s="55">
        <f t="shared" si="2"/>
        <v>-25000</v>
      </c>
      <c r="F120" s="17">
        <v>25000</v>
      </c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>
        <v>25000</v>
      </c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  <c r="AX120" s="17"/>
      <c r="AY120" s="17"/>
      <c r="AZ120" s="17"/>
      <c r="BA120" s="56">
        <v>0</v>
      </c>
    </row>
    <row r="121" spans="1:53" ht="25.5" x14ac:dyDescent="0.25">
      <c r="A121" s="23" t="s">
        <v>633</v>
      </c>
      <c r="B121" s="10" t="s">
        <v>634</v>
      </c>
      <c r="C121" s="9" t="s">
        <v>635</v>
      </c>
      <c r="D121" s="49">
        <v>70000</v>
      </c>
      <c r="E121" s="55">
        <f t="shared" si="2"/>
        <v>-70000</v>
      </c>
      <c r="F121" s="17">
        <v>40000</v>
      </c>
      <c r="G121" s="17">
        <v>40000</v>
      </c>
      <c r="H121" s="17">
        <v>40000</v>
      </c>
      <c r="I121" s="17">
        <v>40000</v>
      </c>
      <c r="J121" s="17">
        <v>40000</v>
      </c>
      <c r="K121" s="17">
        <v>40000</v>
      </c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>
        <v>40000</v>
      </c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  <c r="AX121" s="17"/>
      <c r="AY121" s="17"/>
      <c r="AZ121" s="17"/>
      <c r="BA121" s="56">
        <v>0</v>
      </c>
    </row>
    <row r="122" spans="1:53" x14ac:dyDescent="0.25">
      <c r="A122" s="23" t="s">
        <v>636</v>
      </c>
      <c r="B122" s="10" t="s">
        <v>637</v>
      </c>
      <c r="C122" s="9" t="s">
        <v>638</v>
      </c>
      <c r="D122" s="49">
        <v>150000</v>
      </c>
      <c r="E122" s="55">
        <f t="shared" si="2"/>
        <v>-150000</v>
      </c>
      <c r="F122" s="17">
        <v>120000</v>
      </c>
      <c r="G122" s="17">
        <v>120000</v>
      </c>
      <c r="H122" s="17">
        <v>120000</v>
      </c>
      <c r="I122" s="17">
        <v>120000</v>
      </c>
      <c r="J122" s="17">
        <v>120000</v>
      </c>
      <c r="K122" s="17">
        <v>120000</v>
      </c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  <c r="AX122" s="17"/>
      <c r="AY122" s="17"/>
      <c r="AZ122" s="17"/>
      <c r="BA122" s="56">
        <v>0</v>
      </c>
    </row>
    <row r="123" spans="1:53" x14ac:dyDescent="0.25">
      <c r="A123" s="23" t="s">
        <v>639</v>
      </c>
      <c r="B123" s="10" t="s">
        <v>640</v>
      </c>
      <c r="C123" s="9" t="s">
        <v>641</v>
      </c>
      <c r="D123" s="49">
        <v>325000</v>
      </c>
      <c r="E123" s="55">
        <f t="shared" si="2"/>
        <v>-325000</v>
      </c>
      <c r="F123" s="17">
        <v>325000</v>
      </c>
      <c r="G123" s="17">
        <v>325000</v>
      </c>
      <c r="H123" s="17">
        <v>325000</v>
      </c>
      <c r="I123" s="17">
        <v>325000</v>
      </c>
      <c r="J123" s="17">
        <v>325000</v>
      </c>
      <c r="K123" s="17">
        <v>325000</v>
      </c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>
        <v>25000</v>
      </c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  <c r="AX123" s="17"/>
      <c r="AY123" s="17"/>
      <c r="AZ123" s="17"/>
      <c r="BA123" s="56">
        <v>0</v>
      </c>
    </row>
    <row r="124" spans="1:53" ht="25.5" x14ac:dyDescent="0.25">
      <c r="A124" s="23" t="s">
        <v>642</v>
      </c>
      <c r="B124" s="10" t="s">
        <v>643</v>
      </c>
      <c r="C124" s="9" t="s">
        <v>644</v>
      </c>
      <c r="D124" s="49">
        <v>550000</v>
      </c>
      <c r="E124" s="55">
        <f t="shared" si="2"/>
        <v>-550000</v>
      </c>
      <c r="F124" s="17">
        <v>530000</v>
      </c>
      <c r="G124" s="17">
        <v>530000</v>
      </c>
      <c r="H124" s="17">
        <v>530000</v>
      </c>
      <c r="I124" s="17">
        <v>530000</v>
      </c>
      <c r="J124" s="17">
        <v>530000</v>
      </c>
      <c r="K124" s="17">
        <v>530000</v>
      </c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>
        <v>25000</v>
      </c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  <c r="AX124" s="17"/>
      <c r="AY124" s="17"/>
      <c r="AZ124" s="17"/>
      <c r="BA124" s="56">
        <v>0</v>
      </c>
    </row>
    <row r="125" spans="1:53" x14ac:dyDescent="0.25">
      <c r="A125" s="23" t="s">
        <v>645</v>
      </c>
      <c r="B125" s="10" t="s">
        <v>646</v>
      </c>
      <c r="C125" s="9" t="s">
        <v>647</v>
      </c>
      <c r="D125" s="49">
        <v>350000</v>
      </c>
      <c r="E125" s="55">
        <f t="shared" si="2"/>
        <v>-350000</v>
      </c>
      <c r="F125" s="17">
        <v>310000</v>
      </c>
      <c r="G125" s="17">
        <v>310000</v>
      </c>
      <c r="H125" s="17">
        <v>310000</v>
      </c>
      <c r="I125" s="17">
        <v>310000</v>
      </c>
      <c r="J125" s="17">
        <v>310000</v>
      </c>
      <c r="K125" s="17">
        <v>310000</v>
      </c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>
        <v>35000</v>
      </c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  <c r="AX125" s="17"/>
      <c r="AY125" s="17"/>
      <c r="AZ125" s="17"/>
      <c r="BA125" s="56">
        <v>0</v>
      </c>
    </row>
    <row r="126" spans="1:53" x14ac:dyDescent="0.25">
      <c r="A126" s="23" t="s">
        <v>648</v>
      </c>
      <c r="B126" s="10" t="s">
        <v>649</v>
      </c>
      <c r="C126" s="9" t="s">
        <v>650</v>
      </c>
      <c r="D126" s="49">
        <v>35000</v>
      </c>
      <c r="E126" s="55">
        <f t="shared" si="2"/>
        <v>-35000</v>
      </c>
      <c r="F126" s="17">
        <v>35000</v>
      </c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>
        <v>35000</v>
      </c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  <c r="AX126" s="17"/>
      <c r="AY126" s="17"/>
      <c r="AZ126" s="17"/>
      <c r="BA126" s="56">
        <v>0</v>
      </c>
    </row>
    <row r="127" spans="1:53" x14ac:dyDescent="0.25">
      <c r="A127" s="23" t="s">
        <v>651</v>
      </c>
      <c r="B127" s="10" t="s">
        <v>652</v>
      </c>
      <c r="C127" s="9" t="s">
        <v>653</v>
      </c>
      <c r="D127" s="49">
        <v>140000</v>
      </c>
      <c r="E127" s="55">
        <f t="shared" si="2"/>
        <v>-140000</v>
      </c>
      <c r="F127" s="17">
        <v>115000</v>
      </c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  <c r="AX127" s="17"/>
      <c r="AY127" s="17"/>
      <c r="AZ127" s="17"/>
      <c r="BA127" s="56">
        <v>0</v>
      </c>
    </row>
    <row r="128" spans="1:53" ht="25.5" x14ac:dyDescent="0.25">
      <c r="A128" s="59" t="s">
        <v>654</v>
      </c>
      <c r="B128" s="10" t="s">
        <v>655</v>
      </c>
      <c r="C128" s="9" t="s">
        <v>656</v>
      </c>
      <c r="D128" s="49">
        <v>690000</v>
      </c>
      <c r="E128" s="55">
        <f t="shared" si="2"/>
        <v>-690000</v>
      </c>
      <c r="F128" s="17">
        <v>610000</v>
      </c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  <c r="AX128" s="17"/>
      <c r="AY128" s="17"/>
      <c r="AZ128" s="17"/>
      <c r="BA128" s="56">
        <v>0</v>
      </c>
    </row>
    <row r="129" spans="1:53" x14ac:dyDescent="0.25">
      <c r="A129" s="59" t="s">
        <v>657</v>
      </c>
      <c r="B129" s="10" t="s">
        <v>658</v>
      </c>
      <c r="C129" s="9" t="s">
        <v>659</v>
      </c>
      <c r="D129" s="49">
        <v>220000</v>
      </c>
      <c r="E129" s="55">
        <f t="shared" si="2"/>
        <v>-220000</v>
      </c>
      <c r="F129" s="17">
        <v>190000</v>
      </c>
      <c r="G129" s="17">
        <v>190000</v>
      </c>
      <c r="H129" s="17">
        <v>190000</v>
      </c>
      <c r="I129" s="17">
        <v>190000</v>
      </c>
      <c r="J129" s="17">
        <v>190000</v>
      </c>
      <c r="K129" s="17">
        <v>190000</v>
      </c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  <c r="AX129" s="17"/>
      <c r="AY129" s="17"/>
      <c r="AZ129" s="17"/>
      <c r="BA129" s="56">
        <v>0</v>
      </c>
    </row>
    <row r="130" spans="1:53" ht="25.5" x14ac:dyDescent="0.25">
      <c r="A130" s="59" t="s">
        <v>660</v>
      </c>
      <c r="B130" s="10" t="s">
        <v>661</v>
      </c>
      <c r="C130" s="9" t="s">
        <v>662</v>
      </c>
      <c r="D130" s="49">
        <v>125000</v>
      </c>
      <c r="E130" s="55">
        <f t="shared" si="2"/>
        <v>-125000</v>
      </c>
      <c r="F130" s="17">
        <v>95000</v>
      </c>
      <c r="G130" s="17">
        <v>95000</v>
      </c>
      <c r="H130" s="17">
        <v>95000</v>
      </c>
      <c r="I130" s="17">
        <v>95000</v>
      </c>
      <c r="J130" s="17">
        <v>95000</v>
      </c>
      <c r="K130" s="17">
        <v>95000</v>
      </c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  <c r="AX130" s="17"/>
      <c r="AY130" s="17"/>
      <c r="AZ130" s="17"/>
      <c r="BA130" s="56">
        <v>0</v>
      </c>
    </row>
    <row r="131" spans="1:53" ht="25.5" x14ac:dyDescent="0.25">
      <c r="A131" s="59" t="s">
        <v>663</v>
      </c>
      <c r="B131" s="10" t="s">
        <v>664</v>
      </c>
      <c r="C131" s="9" t="s">
        <v>665</v>
      </c>
      <c r="D131" s="49">
        <v>190000</v>
      </c>
      <c r="E131" s="55">
        <f t="shared" si="2"/>
        <v>-190000</v>
      </c>
      <c r="F131" s="17">
        <v>130000</v>
      </c>
      <c r="G131" s="17">
        <v>130000</v>
      </c>
      <c r="H131" s="17">
        <v>130000</v>
      </c>
      <c r="I131" s="17">
        <v>130000</v>
      </c>
      <c r="J131" s="17">
        <v>130000</v>
      </c>
      <c r="K131" s="17">
        <v>130000</v>
      </c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  <c r="AX131" s="17"/>
      <c r="AY131" s="17"/>
      <c r="AZ131" s="17"/>
      <c r="BA131" s="56">
        <v>0</v>
      </c>
    </row>
    <row r="132" spans="1:53" ht="25.5" x14ac:dyDescent="0.25">
      <c r="A132" s="59" t="s">
        <v>666</v>
      </c>
      <c r="B132" s="10" t="s">
        <v>667</v>
      </c>
      <c r="C132" s="9" t="s">
        <v>668</v>
      </c>
      <c r="D132" s="49">
        <v>3150000</v>
      </c>
      <c r="E132" s="55">
        <f t="shared" si="2"/>
        <v>-3150000</v>
      </c>
      <c r="F132" s="17">
        <v>3000000</v>
      </c>
      <c r="G132" s="17">
        <v>3000000</v>
      </c>
      <c r="H132" s="17">
        <v>3000000</v>
      </c>
      <c r="I132" s="17">
        <v>3000000</v>
      </c>
      <c r="J132" s="17">
        <v>3000000</v>
      </c>
      <c r="K132" s="17">
        <v>3000000</v>
      </c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  <c r="AX132" s="17"/>
      <c r="AY132" s="17"/>
      <c r="AZ132" s="17"/>
      <c r="BA132" s="56">
        <v>0</v>
      </c>
    </row>
    <row r="133" spans="1:53" x14ac:dyDescent="0.25">
      <c r="A133" s="59" t="s">
        <v>669</v>
      </c>
      <c r="B133" s="10" t="s">
        <v>670</v>
      </c>
      <c r="C133" s="9" t="s">
        <v>671</v>
      </c>
      <c r="D133" s="49">
        <v>70000</v>
      </c>
      <c r="E133" s="55">
        <f t="shared" si="2"/>
        <v>-70000</v>
      </c>
      <c r="F133" s="17">
        <v>60000</v>
      </c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  <c r="AX133" s="17"/>
      <c r="AY133" s="17"/>
      <c r="AZ133" s="17"/>
      <c r="BA133" s="56">
        <v>0</v>
      </c>
    </row>
    <row r="134" spans="1:53" x14ac:dyDescent="0.25">
      <c r="A134" s="59" t="s">
        <v>672</v>
      </c>
      <c r="B134" s="10" t="s">
        <v>673</v>
      </c>
      <c r="C134" s="9" t="s">
        <v>674</v>
      </c>
      <c r="D134" s="49">
        <v>210000</v>
      </c>
      <c r="E134" s="55">
        <f t="shared" si="2"/>
        <v>-210000</v>
      </c>
      <c r="F134" s="17">
        <v>180000</v>
      </c>
      <c r="G134" s="17">
        <v>180000</v>
      </c>
      <c r="H134" s="17">
        <v>180000</v>
      </c>
      <c r="I134" s="17">
        <v>180000</v>
      </c>
      <c r="J134" s="17">
        <v>180000</v>
      </c>
      <c r="K134" s="17">
        <v>180000</v>
      </c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  <c r="AX134" s="17"/>
      <c r="AY134" s="17"/>
      <c r="AZ134" s="17"/>
      <c r="BA134" s="56">
        <v>0</v>
      </c>
    </row>
    <row r="135" spans="1:53" x14ac:dyDescent="0.25">
      <c r="A135" s="59" t="s">
        <v>675</v>
      </c>
      <c r="B135" s="10" t="s">
        <v>676</v>
      </c>
      <c r="C135" s="9" t="s">
        <v>677</v>
      </c>
      <c r="D135" s="49">
        <v>250000</v>
      </c>
      <c r="E135" s="55">
        <f t="shared" ref="E135:E198" si="3">+(D135*$E$5)-D135</f>
        <v>-250000</v>
      </c>
      <c r="F135" s="17">
        <v>200000</v>
      </c>
      <c r="G135" s="17">
        <v>200000</v>
      </c>
      <c r="H135" s="17">
        <v>200000</v>
      </c>
      <c r="I135" s="17">
        <v>200000</v>
      </c>
      <c r="J135" s="17">
        <v>200000</v>
      </c>
      <c r="K135" s="17">
        <v>200000</v>
      </c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  <c r="AX135" s="17"/>
      <c r="AY135" s="17"/>
      <c r="AZ135" s="17"/>
      <c r="BA135" s="56">
        <v>0</v>
      </c>
    </row>
    <row r="136" spans="1:53" x14ac:dyDescent="0.25">
      <c r="A136" s="59" t="s">
        <v>678</v>
      </c>
      <c r="B136" s="10" t="s">
        <v>679</v>
      </c>
      <c r="C136" s="9" t="s">
        <v>680</v>
      </c>
      <c r="D136" s="49">
        <v>150000</v>
      </c>
      <c r="E136" s="55">
        <f t="shared" si="3"/>
        <v>-150000</v>
      </c>
      <c r="F136" s="17">
        <v>120000</v>
      </c>
      <c r="G136" s="17">
        <v>120000</v>
      </c>
      <c r="H136" s="17">
        <v>120000</v>
      </c>
      <c r="I136" s="17">
        <v>120000</v>
      </c>
      <c r="J136" s="17">
        <v>120000</v>
      </c>
      <c r="K136" s="17">
        <v>120000</v>
      </c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  <c r="AX136" s="17"/>
      <c r="AY136" s="17"/>
      <c r="AZ136" s="17"/>
      <c r="BA136" s="56">
        <v>0</v>
      </c>
    </row>
    <row r="137" spans="1:53" x14ac:dyDescent="0.25">
      <c r="A137" s="59" t="s">
        <v>681</v>
      </c>
      <c r="B137" s="10" t="s">
        <v>682</v>
      </c>
      <c r="C137" s="9" t="s">
        <v>683</v>
      </c>
      <c r="D137" s="49">
        <v>245000</v>
      </c>
      <c r="E137" s="55">
        <f t="shared" si="3"/>
        <v>-245000</v>
      </c>
      <c r="F137" s="17">
        <v>205000</v>
      </c>
      <c r="G137" s="17">
        <v>205000</v>
      </c>
      <c r="H137" s="17">
        <v>205000</v>
      </c>
      <c r="I137" s="17">
        <v>205000</v>
      </c>
      <c r="J137" s="17">
        <v>205000</v>
      </c>
      <c r="K137" s="17">
        <v>205000</v>
      </c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  <c r="AX137" s="17"/>
      <c r="AY137" s="17"/>
      <c r="AZ137" s="17"/>
      <c r="BA137" s="56">
        <v>0</v>
      </c>
    </row>
    <row r="138" spans="1:53" x14ac:dyDescent="0.25">
      <c r="A138" s="59" t="s">
        <v>684</v>
      </c>
      <c r="B138" s="10" t="s">
        <v>685</v>
      </c>
      <c r="C138" s="9" t="s">
        <v>686</v>
      </c>
      <c r="D138" s="49">
        <v>165000</v>
      </c>
      <c r="E138" s="55">
        <f t="shared" si="3"/>
        <v>-165000</v>
      </c>
      <c r="F138" s="17">
        <v>145000</v>
      </c>
      <c r="G138" s="17">
        <v>145000</v>
      </c>
      <c r="H138" s="17">
        <v>145000</v>
      </c>
      <c r="I138" s="17">
        <v>145000</v>
      </c>
      <c r="J138" s="17">
        <v>145000</v>
      </c>
      <c r="K138" s="17">
        <v>145000</v>
      </c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  <c r="AX138" s="17"/>
      <c r="AY138" s="17"/>
      <c r="AZ138" s="17"/>
      <c r="BA138" s="56">
        <v>0</v>
      </c>
    </row>
    <row r="139" spans="1:53" x14ac:dyDescent="0.25">
      <c r="A139" s="59" t="s">
        <v>687</v>
      </c>
      <c r="B139" s="10" t="s">
        <v>688</v>
      </c>
      <c r="C139" s="9" t="s">
        <v>689</v>
      </c>
      <c r="D139" s="49">
        <v>85000</v>
      </c>
      <c r="E139" s="55">
        <f t="shared" si="3"/>
        <v>-85000</v>
      </c>
      <c r="F139" s="17">
        <v>46000</v>
      </c>
      <c r="G139" s="17">
        <v>46000</v>
      </c>
      <c r="H139" s="17">
        <v>46000</v>
      </c>
      <c r="I139" s="17">
        <v>46000</v>
      </c>
      <c r="J139" s="17">
        <v>46000</v>
      </c>
      <c r="K139" s="17">
        <v>46000</v>
      </c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  <c r="AX139" s="17"/>
      <c r="AY139" s="17"/>
      <c r="AZ139" s="17"/>
      <c r="BA139" s="56">
        <v>0</v>
      </c>
    </row>
    <row r="140" spans="1:53" x14ac:dyDescent="0.25">
      <c r="A140" s="59" t="s">
        <v>690</v>
      </c>
      <c r="B140" s="10" t="s">
        <v>691</v>
      </c>
      <c r="C140" s="9" t="s">
        <v>692</v>
      </c>
      <c r="D140" s="49">
        <v>85000</v>
      </c>
      <c r="E140" s="55">
        <f t="shared" si="3"/>
        <v>-85000</v>
      </c>
      <c r="F140" s="17">
        <v>50000</v>
      </c>
      <c r="G140" s="17">
        <v>50000</v>
      </c>
      <c r="H140" s="17">
        <v>50000</v>
      </c>
      <c r="I140" s="17">
        <v>50000</v>
      </c>
      <c r="J140" s="17">
        <v>50000</v>
      </c>
      <c r="K140" s="17">
        <v>50000</v>
      </c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  <c r="AX140" s="17"/>
      <c r="AY140" s="17"/>
      <c r="AZ140" s="17"/>
      <c r="BA140" s="56">
        <v>0</v>
      </c>
    </row>
    <row r="141" spans="1:53" x14ac:dyDescent="0.25">
      <c r="A141" s="59"/>
      <c r="B141" s="10"/>
      <c r="C141" s="9"/>
      <c r="D141" s="49"/>
      <c r="E141" s="55">
        <f t="shared" si="3"/>
        <v>0</v>
      </c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  <c r="AX141" s="17"/>
      <c r="AY141" s="17"/>
      <c r="AZ141" s="17"/>
      <c r="BA141" s="56">
        <v>0</v>
      </c>
    </row>
    <row r="142" spans="1:53" x14ac:dyDescent="0.25">
      <c r="A142" s="59"/>
      <c r="B142" s="10"/>
      <c r="C142" s="9"/>
      <c r="D142" s="49"/>
      <c r="E142" s="55">
        <f t="shared" si="3"/>
        <v>0</v>
      </c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  <c r="AX142" s="17"/>
      <c r="AY142" s="17"/>
      <c r="AZ142" s="17"/>
      <c r="BA142" s="56">
        <v>0</v>
      </c>
    </row>
    <row r="143" spans="1:53" x14ac:dyDescent="0.25">
      <c r="A143" s="59"/>
      <c r="B143" s="10"/>
      <c r="C143" s="9"/>
      <c r="D143" s="49"/>
      <c r="E143" s="55">
        <f t="shared" si="3"/>
        <v>0</v>
      </c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  <c r="AX143" s="17"/>
      <c r="AY143" s="17"/>
      <c r="AZ143" s="17"/>
      <c r="BA143" s="56">
        <v>0</v>
      </c>
    </row>
    <row r="144" spans="1:53" x14ac:dyDescent="0.25">
      <c r="A144" s="25">
        <v>4</v>
      </c>
      <c r="B144" s="22" t="s">
        <v>34</v>
      </c>
      <c r="C144" s="22"/>
      <c r="D144" s="22"/>
      <c r="E144" s="55">
        <f t="shared" si="3"/>
        <v>0</v>
      </c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56">
        <v>0</v>
      </c>
    </row>
    <row r="145" spans="1:58" x14ac:dyDescent="0.25">
      <c r="A145" s="23" t="s">
        <v>156</v>
      </c>
      <c r="B145" s="10" t="s">
        <v>35</v>
      </c>
      <c r="C145" s="9" t="s">
        <v>36</v>
      </c>
      <c r="D145" s="49">
        <v>20000</v>
      </c>
      <c r="E145" s="55">
        <f t="shared" si="3"/>
        <v>-20000</v>
      </c>
      <c r="F145" s="17">
        <v>15000</v>
      </c>
      <c r="G145" s="17">
        <v>15000</v>
      </c>
      <c r="H145" s="17">
        <v>15000</v>
      </c>
      <c r="I145" s="17">
        <v>15000</v>
      </c>
      <c r="J145" s="17">
        <v>15000</v>
      </c>
      <c r="K145" s="17">
        <v>15000</v>
      </c>
      <c r="L145" s="17"/>
      <c r="M145" s="17">
        <v>15000</v>
      </c>
      <c r="N145" s="17"/>
      <c r="O145" s="17"/>
      <c r="P145" s="17"/>
      <c r="Q145" s="17"/>
      <c r="R145" s="17"/>
      <c r="S145" s="17">
        <v>20000</v>
      </c>
      <c r="T145" s="17">
        <v>20000</v>
      </c>
      <c r="U145" s="17"/>
      <c r="V145" s="17"/>
      <c r="W145" s="17"/>
      <c r="X145" s="17">
        <v>15000</v>
      </c>
      <c r="Y145" s="17"/>
      <c r="Z145" s="17">
        <v>15000</v>
      </c>
      <c r="AA145" s="17">
        <v>7050</v>
      </c>
      <c r="AB145" s="17">
        <v>7050</v>
      </c>
      <c r="AC145" s="17">
        <v>7050</v>
      </c>
      <c r="AD145" s="17">
        <v>7050</v>
      </c>
      <c r="AE145" s="17"/>
      <c r="AF145" s="17"/>
      <c r="AG145" s="17"/>
      <c r="AH145" s="17">
        <v>25000</v>
      </c>
      <c r="AI145" s="17">
        <v>25000</v>
      </c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  <c r="AX145" s="17"/>
      <c r="AY145" s="17"/>
      <c r="AZ145" s="17"/>
      <c r="BA145" s="56">
        <v>0</v>
      </c>
    </row>
    <row r="146" spans="1:58" ht="25.5" x14ac:dyDescent="0.25">
      <c r="A146" s="23" t="s">
        <v>157</v>
      </c>
      <c r="B146" s="10" t="s">
        <v>37</v>
      </c>
      <c r="C146" s="9" t="s">
        <v>340</v>
      </c>
      <c r="D146" s="49">
        <v>35000</v>
      </c>
      <c r="E146" s="55">
        <f t="shared" si="3"/>
        <v>-35000</v>
      </c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>
        <v>45000</v>
      </c>
      <c r="AI146" s="17">
        <v>45000</v>
      </c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  <c r="AX146" s="17"/>
      <c r="AY146" s="17">
        <v>38150</v>
      </c>
      <c r="AZ146" s="17"/>
      <c r="BA146" s="56">
        <v>0</v>
      </c>
    </row>
    <row r="147" spans="1:58" x14ac:dyDescent="0.25">
      <c r="A147" s="23" t="s">
        <v>158</v>
      </c>
      <c r="B147" s="10" t="s">
        <v>38</v>
      </c>
      <c r="C147" s="9" t="s">
        <v>319</v>
      </c>
      <c r="D147" s="49">
        <v>45000</v>
      </c>
      <c r="E147" s="55">
        <f t="shared" si="3"/>
        <v>-45000</v>
      </c>
      <c r="F147" s="17">
        <v>36000</v>
      </c>
      <c r="G147" s="17"/>
      <c r="H147" s="17">
        <v>36000</v>
      </c>
      <c r="I147" s="17">
        <v>36000</v>
      </c>
      <c r="J147" s="17"/>
      <c r="K147" s="17"/>
      <c r="L147" s="17"/>
      <c r="M147" s="17">
        <v>38000</v>
      </c>
      <c r="N147" s="17"/>
      <c r="O147" s="17"/>
      <c r="P147" s="17"/>
      <c r="Q147" s="17"/>
      <c r="R147" s="17"/>
      <c r="S147" s="17"/>
      <c r="T147" s="17"/>
      <c r="U147" s="17">
        <v>50000</v>
      </c>
      <c r="V147" s="17"/>
      <c r="W147" s="17"/>
      <c r="X147" s="17">
        <v>36000</v>
      </c>
      <c r="Y147" s="17"/>
      <c r="Z147" s="17">
        <v>36000</v>
      </c>
      <c r="AA147" s="17"/>
      <c r="AB147" s="17"/>
      <c r="AC147" s="17"/>
      <c r="AD147" s="17"/>
      <c r="AE147" s="17"/>
      <c r="AF147" s="17"/>
      <c r="AG147" s="17"/>
      <c r="AH147" s="17">
        <v>58000</v>
      </c>
      <c r="AI147" s="17">
        <v>58000</v>
      </c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  <c r="AX147" s="17"/>
      <c r="AY147" s="17">
        <v>49050</v>
      </c>
      <c r="AZ147" s="17"/>
      <c r="BA147" s="56">
        <v>45000</v>
      </c>
    </row>
    <row r="148" spans="1:58" x14ac:dyDescent="0.25">
      <c r="A148" s="23" t="s">
        <v>158</v>
      </c>
      <c r="B148" s="10" t="s">
        <v>38</v>
      </c>
      <c r="C148" s="9" t="s">
        <v>320</v>
      </c>
      <c r="D148" s="49">
        <v>45000</v>
      </c>
      <c r="E148" s="55">
        <f t="shared" si="3"/>
        <v>-45000</v>
      </c>
      <c r="F148" s="17">
        <v>36000</v>
      </c>
      <c r="G148" s="17"/>
      <c r="H148" s="17">
        <v>36000</v>
      </c>
      <c r="I148" s="17">
        <v>36000</v>
      </c>
      <c r="J148" s="17"/>
      <c r="K148" s="17"/>
      <c r="L148" s="17"/>
      <c r="M148" s="17">
        <v>38000</v>
      </c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>
        <v>36000</v>
      </c>
      <c r="Y148" s="17"/>
      <c r="Z148" s="17">
        <v>36000</v>
      </c>
      <c r="AA148" s="17">
        <v>30600</v>
      </c>
      <c r="AB148" s="17">
        <v>30600</v>
      </c>
      <c r="AC148" s="17">
        <v>30600</v>
      </c>
      <c r="AD148" s="17">
        <v>30600</v>
      </c>
      <c r="AE148" s="17"/>
      <c r="AF148" s="17"/>
      <c r="AG148" s="17"/>
      <c r="AH148" s="17">
        <v>58000</v>
      </c>
      <c r="AI148" s="17">
        <v>58000</v>
      </c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  <c r="AX148" s="17"/>
      <c r="AY148" s="17">
        <v>49050</v>
      </c>
      <c r="AZ148" s="17"/>
      <c r="BA148" s="56">
        <v>45000</v>
      </c>
    </row>
    <row r="149" spans="1:58" x14ac:dyDescent="0.25">
      <c r="A149" s="23" t="s">
        <v>159</v>
      </c>
      <c r="B149" s="10" t="s">
        <v>39</v>
      </c>
      <c r="C149" s="9" t="s">
        <v>321</v>
      </c>
      <c r="D149" s="49">
        <v>45000</v>
      </c>
      <c r="E149" s="55">
        <f t="shared" si="3"/>
        <v>-45000</v>
      </c>
      <c r="F149" s="17">
        <v>36000</v>
      </c>
      <c r="G149" s="17"/>
      <c r="H149" s="17">
        <v>36000</v>
      </c>
      <c r="I149" s="17">
        <v>36000</v>
      </c>
      <c r="J149" s="17"/>
      <c r="K149" s="17"/>
      <c r="L149" s="17"/>
      <c r="M149" s="17">
        <v>45000</v>
      </c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>
        <v>36000</v>
      </c>
      <c r="Y149" s="17"/>
      <c r="Z149" s="17">
        <v>36000</v>
      </c>
      <c r="AA149" s="17">
        <v>30600</v>
      </c>
      <c r="AB149" s="17">
        <v>30600</v>
      </c>
      <c r="AC149" s="17">
        <v>30600</v>
      </c>
      <c r="AD149" s="17">
        <v>30600</v>
      </c>
      <c r="AE149" s="17"/>
      <c r="AF149" s="17"/>
      <c r="AG149" s="17"/>
      <c r="AH149" s="17">
        <v>58000</v>
      </c>
      <c r="AI149" s="17">
        <v>58000</v>
      </c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  <c r="AX149" s="17"/>
      <c r="AY149" s="17">
        <v>49050</v>
      </c>
      <c r="AZ149" s="17"/>
      <c r="BA149" s="56">
        <v>45000</v>
      </c>
    </row>
    <row r="150" spans="1:58" x14ac:dyDescent="0.25">
      <c r="A150" s="23" t="s">
        <v>159</v>
      </c>
      <c r="B150" s="10" t="s">
        <v>39</v>
      </c>
      <c r="C150" s="9" t="s">
        <v>322</v>
      </c>
      <c r="D150" s="49">
        <v>45000</v>
      </c>
      <c r="E150" s="55">
        <f t="shared" si="3"/>
        <v>-45000</v>
      </c>
      <c r="F150" s="17">
        <v>36000</v>
      </c>
      <c r="G150" s="17">
        <v>36000</v>
      </c>
      <c r="H150" s="17">
        <v>36000</v>
      </c>
      <c r="I150" s="17">
        <v>36000</v>
      </c>
      <c r="J150" s="17">
        <v>36000</v>
      </c>
      <c r="K150" s="17">
        <v>36000</v>
      </c>
      <c r="L150" s="17"/>
      <c r="M150" s="17">
        <v>45000</v>
      </c>
      <c r="N150" s="17"/>
      <c r="O150" s="17"/>
      <c r="P150" s="17"/>
      <c r="Q150" s="17"/>
      <c r="R150" s="17"/>
      <c r="S150" s="17">
        <v>45000</v>
      </c>
      <c r="T150" s="17">
        <v>45000</v>
      </c>
      <c r="U150" s="17"/>
      <c r="V150" s="17"/>
      <c r="W150" s="17"/>
      <c r="X150" s="17">
        <v>36000</v>
      </c>
      <c r="Y150" s="17"/>
      <c r="Z150" s="17">
        <v>36000</v>
      </c>
      <c r="AA150" s="17">
        <v>30600</v>
      </c>
      <c r="AB150" s="17">
        <v>30600</v>
      </c>
      <c r="AC150" s="17">
        <v>30600</v>
      </c>
      <c r="AD150" s="17">
        <v>30600</v>
      </c>
      <c r="AE150" s="17"/>
      <c r="AF150" s="17"/>
      <c r="AG150" s="17"/>
      <c r="AH150" s="17">
        <v>58000</v>
      </c>
      <c r="AI150" s="17">
        <v>58000</v>
      </c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  <c r="AX150" s="17"/>
      <c r="AY150" s="17">
        <v>49050</v>
      </c>
      <c r="AZ150" s="17"/>
      <c r="BA150" s="56">
        <v>45000</v>
      </c>
    </row>
    <row r="151" spans="1:58" x14ac:dyDescent="0.25">
      <c r="A151" s="23" t="s">
        <v>160</v>
      </c>
      <c r="B151" s="10" t="s">
        <v>40</v>
      </c>
      <c r="C151" s="9" t="s">
        <v>323</v>
      </c>
      <c r="D151" s="49">
        <v>35000</v>
      </c>
      <c r="E151" s="55">
        <f t="shared" si="3"/>
        <v>-35000</v>
      </c>
      <c r="F151" s="17">
        <v>22000</v>
      </c>
      <c r="G151" s="17">
        <v>22000</v>
      </c>
      <c r="H151" s="17">
        <v>22000</v>
      </c>
      <c r="I151" s="17">
        <v>22000</v>
      </c>
      <c r="J151" s="17">
        <v>22000</v>
      </c>
      <c r="K151" s="17">
        <v>22000</v>
      </c>
      <c r="L151" s="17"/>
      <c r="M151" s="17">
        <v>48000</v>
      </c>
      <c r="N151" s="17"/>
      <c r="O151" s="17"/>
      <c r="P151" s="17"/>
      <c r="Q151" s="17"/>
      <c r="R151" s="17"/>
      <c r="S151" s="17">
        <v>40000</v>
      </c>
      <c r="T151" s="17">
        <v>40000</v>
      </c>
      <c r="U151" s="17">
        <v>40000</v>
      </c>
      <c r="V151" s="17"/>
      <c r="W151" s="17"/>
      <c r="X151" s="17">
        <v>22000</v>
      </c>
      <c r="Y151" s="17"/>
      <c r="Z151" s="17">
        <v>22000</v>
      </c>
      <c r="AA151" s="17">
        <v>18700</v>
      </c>
      <c r="AB151" s="17">
        <v>18700</v>
      </c>
      <c r="AC151" s="17">
        <v>18700</v>
      </c>
      <c r="AD151" s="17">
        <v>18700</v>
      </c>
      <c r="AE151" s="17"/>
      <c r="AF151" s="17"/>
      <c r="AG151" s="17"/>
      <c r="AH151" s="17">
        <v>48000</v>
      </c>
      <c r="AI151" s="17">
        <v>53000</v>
      </c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  <c r="AX151" s="17"/>
      <c r="AY151" s="17"/>
      <c r="AZ151" s="17"/>
      <c r="BA151" s="56">
        <v>48000</v>
      </c>
    </row>
    <row r="152" spans="1:58" ht="25.5" x14ac:dyDescent="0.25">
      <c r="A152" s="23" t="s">
        <v>161</v>
      </c>
      <c r="B152" s="10" t="s">
        <v>407</v>
      </c>
      <c r="C152" s="9" t="s">
        <v>324</v>
      </c>
      <c r="D152" s="50">
        <v>75000</v>
      </c>
      <c r="E152" s="55">
        <f t="shared" si="3"/>
        <v>-75000</v>
      </c>
      <c r="F152" s="18">
        <v>70000</v>
      </c>
      <c r="G152" s="18">
        <v>70000</v>
      </c>
      <c r="H152" s="18">
        <v>70000</v>
      </c>
      <c r="I152" s="18">
        <v>70000</v>
      </c>
      <c r="J152" s="18">
        <v>70000</v>
      </c>
      <c r="K152" s="18">
        <v>70000</v>
      </c>
      <c r="L152" s="19"/>
      <c r="M152" s="19"/>
      <c r="N152" s="19"/>
      <c r="O152" s="19"/>
      <c r="P152" s="19"/>
      <c r="Q152" s="19"/>
      <c r="R152" s="19"/>
      <c r="S152" s="19">
        <v>75000</v>
      </c>
      <c r="T152" s="19">
        <v>75000</v>
      </c>
      <c r="U152" s="19"/>
      <c r="V152" s="19"/>
      <c r="W152" s="19"/>
      <c r="X152" s="18">
        <v>70000</v>
      </c>
      <c r="Y152" s="19"/>
      <c r="Z152" s="18">
        <v>70000</v>
      </c>
      <c r="AA152" s="19">
        <v>72000</v>
      </c>
      <c r="AB152" s="19">
        <v>72000</v>
      </c>
      <c r="AC152" s="19">
        <v>72000</v>
      </c>
      <c r="AD152" s="19">
        <v>72000</v>
      </c>
      <c r="AE152" s="19"/>
      <c r="AF152" s="19"/>
      <c r="AG152" s="19"/>
      <c r="AH152" s="18">
        <v>83000</v>
      </c>
      <c r="AI152" s="19">
        <v>83000</v>
      </c>
      <c r="AJ152" s="19"/>
      <c r="AK152" s="19"/>
      <c r="AL152" s="19"/>
      <c r="AM152" s="19"/>
      <c r="AN152" s="19"/>
      <c r="AO152" s="19"/>
      <c r="AP152" s="19"/>
      <c r="AQ152" s="19"/>
      <c r="AR152" s="19"/>
      <c r="AS152" s="19"/>
      <c r="AT152" s="19"/>
      <c r="AU152" s="19"/>
      <c r="AV152" s="19"/>
      <c r="AW152" s="18"/>
      <c r="AX152" s="18"/>
      <c r="AY152" s="18"/>
      <c r="AZ152" s="18"/>
      <c r="BA152" s="56">
        <v>0</v>
      </c>
    </row>
    <row r="153" spans="1:58" ht="25.5" x14ac:dyDescent="0.25">
      <c r="A153" s="23" t="s">
        <v>162</v>
      </c>
      <c r="B153" s="20" t="s">
        <v>41</v>
      </c>
      <c r="C153" s="9" t="s">
        <v>325</v>
      </c>
      <c r="D153" s="50">
        <v>205000</v>
      </c>
      <c r="E153" s="55">
        <f t="shared" si="3"/>
        <v>-205000</v>
      </c>
      <c r="F153" s="18">
        <v>100000</v>
      </c>
      <c r="G153" s="18">
        <v>100000</v>
      </c>
      <c r="H153" s="18">
        <v>100000</v>
      </c>
      <c r="I153" s="18">
        <v>100000</v>
      </c>
      <c r="J153" s="18">
        <v>100000</v>
      </c>
      <c r="K153" s="18">
        <v>100000</v>
      </c>
      <c r="L153" s="18"/>
      <c r="M153" s="18">
        <v>205000</v>
      </c>
      <c r="N153" s="18"/>
      <c r="O153" s="18"/>
      <c r="P153" s="18"/>
      <c r="Q153" s="18"/>
      <c r="R153" s="18"/>
      <c r="S153" s="18">
        <v>205000</v>
      </c>
      <c r="T153" s="18">
        <v>205000</v>
      </c>
      <c r="U153" s="18">
        <v>205000</v>
      </c>
      <c r="V153" s="18"/>
      <c r="W153" s="18"/>
      <c r="X153" s="18">
        <v>100000</v>
      </c>
      <c r="Y153" s="18"/>
      <c r="Z153" s="18">
        <v>100000</v>
      </c>
      <c r="AA153" s="18"/>
      <c r="AB153" s="18"/>
      <c r="AC153" s="18"/>
      <c r="AD153" s="18"/>
      <c r="AE153" s="18"/>
      <c r="AF153" s="18"/>
      <c r="AG153" s="18"/>
      <c r="AH153" s="18">
        <v>235000</v>
      </c>
      <c r="AI153" s="18">
        <v>235000</v>
      </c>
      <c r="AJ153" s="18"/>
      <c r="AK153" s="18"/>
      <c r="AL153" s="18"/>
      <c r="AM153" s="18"/>
      <c r="AN153" s="18"/>
      <c r="AO153" s="18"/>
      <c r="AP153" s="18"/>
      <c r="AQ153" s="18"/>
      <c r="AR153" s="18"/>
      <c r="AS153" s="18"/>
      <c r="AT153" s="18"/>
      <c r="AU153" s="18"/>
      <c r="AV153" s="18"/>
      <c r="AW153" s="18"/>
      <c r="AX153" s="18"/>
      <c r="AY153" s="18"/>
      <c r="AZ153" s="18"/>
      <c r="BA153" s="56">
        <v>0</v>
      </c>
      <c r="BB153" s="1"/>
      <c r="BC153" s="1"/>
      <c r="BD153" s="1"/>
      <c r="BE153" s="1"/>
      <c r="BF153" s="1"/>
    </row>
    <row r="154" spans="1:58" x14ac:dyDescent="0.25">
      <c r="A154" s="23" t="s">
        <v>163</v>
      </c>
      <c r="B154" s="20" t="s">
        <v>2</v>
      </c>
      <c r="C154" s="9" t="s">
        <v>326</v>
      </c>
      <c r="D154" s="50">
        <v>48000</v>
      </c>
      <c r="E154" s="55">
        <f t="shared" si="3"/>
        <v>-48000</v>
      </c>
      <c r="F154" s="18">
        <v>38000</v>
      </c>
      <c r="G154" s="18">
        <v>38000</v>
      </c>
      <c r="H154" s="18">
        <v>38000</v>
      </c>
      <c r="I154" s="18">
        <v>38000</v>
      </c>
      <c r="J154" s="18">
        <v>38000</v>
      </c>
      <c r="K154" s="18">
        <v>38000</v>
      </c>
      <c r="L154" s="18"/>
      <c r="M154" s="18">
        <v>68000</v>
      </c>
      <c r="N154" s="18"/>
      <c r="O154" s="18"/>
      <c r="P154" s="18"/>
      <c r="Q154" s="18">
        <v>38000</v>
      </c>
      <c r="R154" s="18"/>
      <c r="S154" s="18">
        <v>65000</v>
      </c>
      <c r="T154" s="18">
        <v>65000</v>
      </c>
      <c r="U154" s="18">
        <v>65000</v>
      </c>
      <c r="V154" s="18"/>
      <c r="W154" s="18"/>
      <c r="X154" s="18">
        <v>38000</v>
      </c>
      <c r="Y154" s="18"/>
      <c r="Z154" s="18">
        <v>38000</v>
      </c>
      <c r="AA154" s="18">
        <v>32300</v>
      </c>
      <c r="AB154" s="18">
        <v>32300</v>
      </c>
      <c r="AC154" s="18">
        <v>32300</v>
      </c>
      <c r="AD154" s="18">
        <v>32300</v>
      </c>
      <c r="AE154" s="18"/>
      <c r="AF154" s="18"/>
      <c r="AG154" s="18"/>
      <c r="AH154" s="18">
        <v>72000</v>
      </c>
      <c r="AI154" s="18">
        <v>72000</v>
      </c>
      <c r="AJ154" s="18"/>
      <c r="AK154" s="18"/>
      <c r="AL154" s="18"/>
      <c r="AM154" s="18"/>
      <c r="AN154" s="18"/>
      <c r="AO154" s="18"/>
      <c r="AP154" s="18"/>
      <c r="AQ154" s="18"/>
      <c r="AR154" s="18"/>
      <c r="AS154" s="18"/>
      <c r="AT154" s="18"/>
      <c r="AU154" s="18"/>
      <c r="AV154" s="18"/>
      <c r="AW154" s="18"/>
      <c r="AX154" s="18"/>
      <c r="AY154" s="18"/>
      <c r="AZ154" s="18"/>
      <c r="BA154" s="56">
        <v>68500</v>
      </c>
      <c r="BB154" s="1"/>
      <c r="BC154" s="1"/>
      <c r="BD154" s="1"/>
      <c r="BE154" s="1"/>
      <c r="BF154" s="1"/>
    </row>
    <row r="155" spans="1:58" x14ac:dyDescent="0.25">
      <c r="A155" s="23" t="s">
        <v>164</v>
      </c>
      <c r="B155" s="20" t="s">
        <v>42</v>
      </c>
      <c r="C155" s="9" t="s">
        <v>327</v>
      </c>
      <c r="D155" s="50">
        <v>34000</v>
      </c>
      <c r="E155" s="55">
        <f t="shared" si="3"/>
        <v>-34000</v>
      </c>
      <c r="F155" s="18">
        <v>18000</v>
      </c>
      <c r="G155" s="18">
        <v>18000</v>
      </c>
      <c r="H155" s="18">
        <v>18000</v>
      </c>
      <c r="I155" s="18">
        <v>18000</v>
      </c>
      <c r="J155" s="18">
        <v>18000</v>
      </c>
      <c r="K155" s="18">
        <v>18000</v>
      </c>
      <c r="L155" s="18"/>
      <c r="M155" s="18">
        <v>40000</v>
      </c>
      <c r="N155" s="18"/>
      <c r="O155" s="18"/>
      <c r="P155" s="18"/>
      <c r="Q155" s="18"/>
      <c r="R155" s="18"/>
      <c r="S155" s="18">
        <v>30000</v>
      </c>
      <c r="T155" s="18">
        <v>30000</v>
      </c>
      <c r="U155" s="18">
        <v>30000</v>
      </c>
      <c r="V155" s="18"/>
      <c r="W155" s="18"/>
      <c r="X155" s="18">
        <v>18000</v>
      </c>
      <c r="Y155" s="18"/>
      <c r="Z155" s="18">
        <v>18000</v>
      </c>
      <c r="AA155" s="18">
        <v>18000</v>
      </c>
      <c r="AB155" s="18">
        <v>18000</v>
      </c>
      <c r="AC155" s="18">
        <v>18000</v>
      </c>
      <c r="AD155" s="18">
        <v>18000</v>
      </c>
      <c r="AE155" s="18"/>
      <c r="AF155" s="18"/>
      <c r="AG155" s="18"/>
      <c r="AH155" s="18">
        <v>36000</v>
      </c>
      <c r="AI155" s="18">
        <v>36000</v>
      </c>
      <c r="AJ155" s="18"/>
      <c r="AK155" s="18"/>
      <c r="AL155" s="18"/>
      <c r="AM155" s="18"/>
      <c r="AN155" s="18"/>
      <c r="AO155" s="18"/>
      <c r="AP155" s="18"/>
      <c r="AQ155" s="18"/>
      <c r="AR155" s="18"/>
      <c r="AS155" s="18"/>
      <c r="AT155" s="18"/>
      <c r="AU155" s="18"/>
      <c r="AV155" s="18"/>
      <c r="AW155" s="18"/>
      <c r="AX155" s="18"/>
      <c r="AY155" s="18"/>
      <c r="AZ155" s="18"/>
      <c r="BA155" s="56">
        <v>0</v>
      </c>
      <c r="BB155" s="1"/>
      <c r="BC155" s="1"/>
      <c r="BD155" s="1"/>
      <c r="BE155" s="1"/>
      <c r="BF155" s="1"/>
    </row>
    <row r="156" spans="1:58" x14ac:dyDescent="0.25">
      <c r="A156" s="23" t="s">
        <v>165</v>
      </c>
      <c r="B156" s="20" t="s">
        <v>43</v>
      </c>
      <c r="C156" s="9" t="s">
        <v>328</v>
      </c>
      <c r="D156" s="50">
        <v>34000</v>
      </c>
      <c r="E156" s="55">
        <f t="shared" si="3"/>
        <v>-34000</v>
      </c>
      <c r="F156" s="18">
        <v>33500</v>
      </c>
      <c r="G156" s="18">
        <v>33500</v>
      </c>
      <c r="H156" s="18">
        <v>33500</v>
      </c>
      <c r="I156" s="18">
        <v>33500</v>
      </c>
      <c r="J156" s="18">
        <v>33500</v>
      </c>
      <c r="K156" s="18">
        <v>33500</v>
      </c>
      <c r="L156" s="18"/>
      <c r="M156" s="18"/>
      <c r="N156" s="18"/>
      <c r="O156" s="18"/>
      <c r="P156" s="18"/>
      <c r="Q156" s="18"/>
      <c r="R156" s="18"/>
      <c r="S156" s="18">
        <v>34000</v>
      </c>
      <c r="T156" s="18">
        <v>34000</v>
      </c>
      <c r="U156" s="18">
        <v>34000</v>
      </c>
      <c r="V156" s="18"/>
      <c r="W156" s="18"/>
      <c r="X156" s="18">
        <v>33500</v>
      </c>
      <c r="Y156" s="18"/>
      <c r="Z156" s="18">
        <v>33500</v>
      </c>
      <c r="AA156" s="18">
        <v>28475</v>
      </c>
      <c r="AB156" s="18">
        <v>28475</v>
      </c>
      <c r="AC156" s="18">
        <v>28475</v>
      </c>
      <c r="AD156" s="18">
        <v>28475</v>
      </c>
      <c r="AE156" s="18"/>
      <c r="AF156" s="18"/>
      <c r="AG156" s="18"/>
      <c r="AH156" s="18">
        <v>41000</v>
      </c>
      <c r="AI156" s="18">
        <v>41000</v>
      </c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18"/>
      <c r="BA156" s="56">
        <v>0</v>
      </c>
      <c r="BB156" s="1"/>
      <c r="BC156" s="1"/>
      <c r="BD156" s="1"/>
      <c r="BE156" s="1"/>
      <c r="BF156" s="1"/>
    </row>
    <row r="157" spans="1:58" ht="25.5" x14ac:dyDescent="0.25">
      <c r="A157" s="23" t="s">
        <v>166</v>
      </c>
      <c r="B157" s="10" t="s">
        <v>44</v>
      </c>
      <c r="C157" s="9" t="s">
        <v>329</v>
      </c>
      <c r="D157" s="50">
        <v>80000</v>
      </c>
      <c r="E157" s="55">
        <f t="shared" si="3"/>
        <v>-80000</v>
      </c>
      <c r="F157" s="17">
        <v>68000</v>
      </c>
      <c r="G157" s="17">
        <v>68000</v>
      </c>
      <c r="H157" s="17">
        <v>68000</v>
      </c>
      <c r="I157" s="17">
        <v>68000</v>
      </c>
      <c r="J157" s="17">
        <v>68000</v>
      </c>
      <c r="K157" s="17">
        <v>68000</v>
      </c>
      <c r="L157" s="17"/>
      <c r="M157" s="17">
        <v>80000</v>
      </c>
      <c r="N157" s="17">
        <v>80000</v>
      </c>
      <c r="O157" s="17"/>
      <c r="P157" s="17">
        <v>80000</v>
      </c>
      <c r="Q157" s="17">
        <v>68000</v>
      </c>
      <c r="R157" s="17"/>
      <c r="S157" s="17">
        <v>85000</v>
      </c>
      <c r="T157" s="17">
        <v>85000</v>
      </c>
      <c r="U157" s="17">
        <v>85000</v>
      </c>
      <c r="V157" s="17"/>
      <c r="W157" s="17"/>
      <c r="X157" s="17">
        <v>68000</v>
      </c>
      <c r="Y157" s="17"/>
      <c r="Z157" s="17">
        <v>68000</v>
      </c>
      <c r="AA157" s="17">
        <v>57800</v>
      </c>
      <c r="AB157" s="17">
        <v>57800</v>
      </c>
      <c r="AC157" s="17">
        <v>57800</v>
      </c>
      <c r="AD157" s="17">
        <v>57800</v>
      </c>
      <c r="AE157" s="17"/>
      <c r="AF157" s="17"/>
      <c r="AG157" s="17"/>
      <c r="AH157" s="17">
        <v>105000</v>
      </c>
      <c r="AI157" s="17">
        <v>105000</v>
      </c>
      <c r="AJ157" s="17">
        <v>105450</v>
      </c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  <c r="AX157" s="17"/>
      <c r="AY157" s="17"/>
      <c r="AZ157" s="17"/>
      <c r="BA157" s="56">
        <v>115000</v>
      </c>
    </row>
    <row r="158" spans="1:58" ht="25.5" x14ac:dyDescent="0.25">
      <c r="A158" s="23" t="s">
        <v>167</v>
      </c>
      <c r="B158" s="10" t="s">
        <v>45</v>
      </c>
      <c r="C158" s="9" t="s">
        <v>330</v>
      </c>
      <c r="D158" s="50">
        <v>92000</v>
      </c>
      <c r="E158" s="55">
        <f t="shared" si="3"/>
        <v>-92000</v>
      </c>
      <c r="F158" s="17"/>
      <c r="G158" s="17"/>
      <c r="H158" s="17"/>
      <c r="I158" s="17"/>
      <c r="J158" s="17"/>
      <c r="K158" s="17"/>
      <c r="L158" s="17"/>
      <c r="M158" s="17">
        <v>87000</v>
      </c>
      <c r="N158" s="17">
        <v>87000</v>
      </c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>
        <v>120000</v>
      </c>
      <c r="AI158" s="17">
        <v>120000</v>
      </c>
      <c r="AJ158" s="17">
        <v>116550</v>
      </c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  <c r="AX158" s="17"/>
      <c r="AY158" s="17"/>
      <c r="AZ158" s="17"/>
      <c r="BA158" s="56">
        <v>0</v>
      </c>
    </row>
    <row r="159" spans="1:58" ht="25.5" x14ac:dyDescent="0.25">
      <c r="A159" s="23" t="s">
        <v>168</v>
      </c>
      <c r="B159" s="10" t="s">
        <v>46</v>
      </c>
      <c r="C159" s="9" t="s">
        <v>331</v>
      </c>
      <c r="D159" s="50">
        <v>100000</v>
      </c>
      <c r="E159" s="55">
        <f t="shared" si="3"/>
        <v>-100000</v>
      </c>
      <c r="F159" s="19">
        <v>75000</v>
      </c>
      <c r="G159" s="19">
        <v>75000</v>
      </c>
      <c r="H159" s="19">
        <v>75000</v>
      </c>
      <c r="I159" s="19">
        <v>75000</v>
      </c>
      <c r="J159" s="19">
        <v>75000</v>
      </c>
      <c r="K159" s="19">
        <v>75000</v>
      </c>
      <c r="L159" s="19"/>
      <c r="M159" s="18"/>
      <c r="N159" s="19"/>
      <c r="O159" s="19"/>
      <c r="P159" s="19"/>
      <c r="Q159" s="19"/>
      <c r="R159" s="19"/>
      <c r="S159" s="19">
        <v>105000</v>
      </c>
      <c r="T159" s="19">
        <v>105000</v>
      </c>
      <c r="U159" s="19">
        <v>105000</v>
      </c>
      <c r="V159" s="19"/>
      <c r="W159" s="19"/>
      <c r="X159" s="19">
        <v>75000</v>
      </c>
      <c r="Y159" s="19"/>
      <c r="Z159" s="19">
        <v>75000</v>
      </c>
      <c r="AA159" s="19">
        <v>28475</v>
      </c>
      <c r="AB159" s="19">
        <v>28475</v>
      </c>
      <c r="AC159" s="19">
        <v>28475</v>
      </c>
      <c r="AD159" s="19">
        <v>28475</v>
      </c>
      <c r="AE159" s="19"/>
      <c r="AF159" s="19"/>
      <c r="AG159" s="19"/>
      <c r="AH159" s="19">
        <v>125000</v>
      </c>
      <c r="AI159" s="19">
        <v>125000</v>
      </c>
      <c r="AJ159" s="19"/>
      <c r="AK159" s="19"/>
      <c r="AL159" s="19"/>
      <c r="AM159" s="19"/>
      <c r="AN159" s="19"/>
      <c r="AO159" s="19"/>
      <c r="AP159" s="19"/>
      <c r="AQ159" s="19"/>
      <c r="AR159" s="19"/>
      <c r="AS159" s="19"/>
      <c r="AT159" s="19"/>
      <c r="AU159" s="19"/>
      <c r="AV159" s="19"/>
      <c r="AW159" s="19"/>
      <c r="AX159" s="19"/>
      <c r="AY159" s="19"/>
      <c r="AZ159" s="19"/>
      <c r="BA159" s="56">
        <v>0</v>
      </c>
    </row>
    <row r="160" spans="1:58" ht="25.5" x14ac:dyDescent="0.25">
      <c r="A160" s="23" t="s">
        <v>169</v>
      </c>
      <c r="B160" s="10" t="s">
        <v>47</v>
      </c>
      <c r="C160" s="9" t="s">
        <v>332</v>
      </c>
      <c r="D160" s="49">
        <v>110000</v>
      </c>
      <c r="E160" s="55">
        <f t="shared" si="3"/>
        <v>-110000</v>
      </c>
      <c r="F160" s="17">
        <v>29000</v>
      </c>
      <c r="G160" s="17">
        <v>29000</v>
      </c>
      <c r="H160" s="17">
        <v>29000</v>
      </c>
      <c r="I160" s="17">
        <v>29000</v>
      </c>
      <c r="J160" s="17">
        <v>29000</v>
      </c>
      <c r="K160" s="17">
        <v>29000</v>
      </c>
      <c r="L160" s="17"/>
      <c r="M160" s="17"/>
      <c r="N160" s="17"/>
      <c r="O160" s="17"/>
      <c r="P160" s="17"/>
      <c r="Q160" s="17"/>
      <c r="R160" s="17"/>
      <c r="S160" s="17">
        <v>100000</v>
      </c>
      <c r="T160" s="17">
        <v>100000</v>
      </c>
      <c r="U160" s="17"/>
      <c r="V160" s="17"/>
      <c r="W160" s="17"/>
      <c r="X160" s="17">
        <v>29000</v>
      </c>
      <c r="Y160" s="17"/>
      <c r="Z160" s="17">
        <v>29000</v>
      </c>
      <c r="AA160" s="17">
        <v>24650</v>
      </c>
      <c r="AB160" s="17">
        <v>24650</v>
      </c>
      <c r="AC160" s="17">
        <v>24650</v>
      </c>
      <c r="AD160" s="17">
        <v>24650</v>
      </c>
      <c r="AE160" s="17"/>
      <c r="AF160" s="17"/>
      <c r="AG160" s="17"/>
      <c r="AH160" s="17">
        <v>135000</v>
      </c>
      <c r="AI160" s="17">
        <v>135000</v>
      </c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  <c r="AX160" s="17"/>
      <c r="AY160" s="17"/>
      <c r="AZ160" s="17"/>
      <c r="BA160" s="56">
        <v>0</v>
      </c>
    </row>
    <row r="161" spans="1:53" x14ac:dyDescent="0.25">
      <c r="A161" s="23" t="s">
        <v>333</v>
      </c>
      <c r="B161" s="10" t="s">
        <v>334</v>
      </c>
      <c r="C161" s="9" t="s">
        <v>335</v>
      </c>
      <c r="D161" s="49">
        <v>80000</v>
      </c>
      <c r="E161" s="55">
        <f t="shared" si="3"/>
        <v>-80000</v>
      </c>
      <c r="F161" s="17">
        <v>63500</v>
      </c>
      <c r="G161" s="17">
        <v>63500</v>
      </c>
      <c r="H161" s="17">
        <v>63500</v>
      </c>
      <c r="I161" s="17">
        <v>63500</v>
      </c>
      <c r="J161" s="17">
        <v>63500</v>
      </c>
      <c r="K161" s="17">
        <v>63500</v>
      </c>
      <c r="L161" s="17"/>
      <c r="M161" s="17">
        <v>80000</v>
      </c>
      <c r="N161" s="17">
        <v>80000</v>
      </c>
      <c r="O161" s="17"/>
      <c r="P161" s="17"/>
      <c r="Q161" s="17"/>
      <c r="R161" s="17"/>
      <c r="S161" s="17">
        <v>80000</v>
      </c>
      <c r="T161" s="17">
        <v>80000</v>
      </c>
      <c r="U161" s="17">
        <v>80000</v>
      </c>
      <c r="V161" s="17"/>
      <c r="W161" s="17"/>
      <c r="X161" s="17">
        <v>63500</v>
      </c>
      <c r="Y161" s="17"/>
      <c r="Z161" s="17">
        <v>63500</v>
      </c>
      <c r="AA161" s="17">
        <v>63500</v>
      </c>
      <c r="AB161" s="17">
        <v>63500</v>
      </c>
      <c r="AC161" s="17">
        <v>63500</v>
      </c>
      <c r="AD161" s="17">
        <v>63500</v>
      </c>
      <c r="AE161" s="17"/>
      <c r="AF161" s="17"/>
      <c r="AG161" s="17"/>
      <c r="AH161" s="17">
        <v>95000</v>
      </c>
      <c r="AI161" s="17">
        <v>95000</v>
      </c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  <c r="AX161" s="17"/>
      <c r="AY161" s="17"/>
      <c r="AZ161" s="17"/>
      <c r="BA161" s="56">
        <v>0</v>
      </c>
    </row>
    <row r="162" spans="1:53" x14ac:dyDescent="0.25">
      <c r="A162" s="23" t="s">
        <v>520</v>
      </c>
      <c r="B162" s="10" t="s">
        <v>693</v>
      </c>
      <c r="C162" s="9" t="s">
        <v>694</v>
      </c>
      <c r="D162" s="49">
        <v>173500</v>
      </c>
      <c r="E162" s="55">
        <f t="shared" si="3"/>
        <v>-173500</v>
      </c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>
        <v>170000</v>
      </c>
      <c r="T162" s="17">
        <v>170000</v>
      </c>
      <c r="U162" s="17">
        <v>125000</v>
      </c>
      <c r="V162" s="17"/>
      <c r="W162" s="17"/>
      <c r="X162" s="17"/>
      <c r="Y162" s="17"/>
      <c r="Z162" s="17"/>
      <c r="AA162" s="17">
        <v>130000</v>
      </c>
      <c r="AB162" s="17">
        <v>130000</v>
      </c>
      <c r="AC162" s="17">
        <v>130000</v>
      </c>
      <c r="AD162" s="17">
        <v>130000</v>
      </c>
      <c r="AE162" s="17"/>
      <c r="AF162" s="17"/>
      <c r="AG162" s="17"/>
      <c r="AH162" s="17">
        <v>130000</v>
      </c>
      <c r="AI162" s="17">
        <v>130000</v>
      </c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  <c r="AX162" s="17"/>
      <c r="AY162" s="17"/>
      <c r="AZ162" s="17"/>
      <c r="BA162" s="56">
        <v>0</v>
      </c>
    </row>
    <row r="163" spans="1:53" ht="25.5" x14ac:dyDescent="0.25">
      <c r="A163" s="23" t="s">
        <v>695</v>
      </c>
      <c r="B163" s="10" t="s">
        <v>696</v>
      </c>
      <c r="C163" s="9" t="s">
        <v>697</v>
      </c>
      <c r="D163" s="49">
        <v>1100000</v>
      </c>
      <c r="E163" s="55">
        <f t="shared" si="3"/>
        <v>-1100000</v>
      </c>
      <c r="F163" s="17">
        <v>950000</v>
      </c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/>
      <c r="BA163" s="56">
        <v>0</v>
      </c>
    </row>
    <row r="164" spans="1:53" x14ac:dyDescent="0.25">
      <c r="A164" s="23" t="s">
        <v>698</v>
      </c>
      <c r="B164" s="10" t="s">
        <v>699</v>
      </c>
      <c r="C164" s="9" t="s">
        <v>700</v>
      </c>
      <c r="D164" s="49">
        <v>1600000</v>
      </c>
      <c r="E164" s="55">
        <f t="shared" si="3"/>
        <v>-1600000</v>
      </c>
      <c r="F164" s="17">
        <v>1480000</v>
      </c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  <c r="AX164" s="17"/>
      <c r="AY164" s="17"/>
      <c r="AZ164" s="17"/>
      <c r="BA164" s="56">
        <v>0</v>
      </c>
    </row>
    <row r="165" spans="1:53" ht="25.5" x14ac:dyDescent="0.25">
      <c r="A165" s="23" t="s">
        <v>701</v>
      </c>
      <c r="B165" s="10" t="s">
        <v>702</v>
      </c>
      <c r="C165" s="9" t="s">
        <v>703</v>
      </c>
      <c r="D165" s="49"/>
      <c r="E165" s="55">
        <f t="shared" si="3"/>
        <v>0</v>
      </c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  <c r="AX165" s="17"/>
      <c r="AY165" s="17"/>
      <c r="AZ165" s="17"/>
      <c r="BA165" s="56">
        <v>0</v>
      </c>
    </row>
    <row r="166" spans="1:53" x14ac:dyDescent="0.25">
      <c r="A166" s="23" t="s">
        <v>704</v>
      </c>
      <c r="B166" s="10" t="s">
        <v>705</v>
      </c>
      <c r="C166" s="9" t="s">
        <v>706</v>
      </c>
      <c r="D166" s="49">
        <v>55000</v>
      </c>
      <c r="E166" s="55">
        <f t="shared" si="3"/>
        <v>-55000</v>
      </c>
      <c r="F166" s="17">
        <v>37000</v>
      </c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  <c r="AX166" s="17"/>
      <c r="AY166" s="17"/>
      <c r="AZ166" s="17"/>
      <c r="BA166" s="56">
        <v>0</v>
      </c>
    </row>
    <row r="167" spans="1:53" x14ac:dyDescent="0.25">
      <c r="A167" s="23"/>
      <c r="B167" s="10"/>
      <c r="C167" s="9"/>
      <c r="D167" s="49"/>
      <c r="E167" s="55">
        <f t="shared" si="3"/>
        <v>0</v>
      </c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7"/>
      <c r="BA167" s="56">
        <v>0</v>
      </c>
    </row>
    <row r="168" spans="1:53" x14ac:dyDescent="0.25">
      <c r="A168" s="23"/>
      <c r="B168" s="10"/>
      <c r="C168" s="9"/>
      <c r="D168" s="49"/>
      <c r="E168" s="55">
        <f t="shared" si="3"/>
        <v>0</v>
      </c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  <c r="AX168" s="17"/>
      <c r="AY168" s="17"/>
      <c r="AZ168" s="17"/>
      <c r="BA168" s="56">
        <v>0</v>
      </c>
    </row>
    <row r="169" spans="1:53" x14ac:dyDescent="0.25">
      <c r="A169" s="23"/>
      <c r="B169" s="10"/>
      <c r="C169" s="9"/>
      <c r="D169" s="49"/>
      <c r="E169" s="55">
        <f t="shared" si="3"/>
        <v>0</v>
      </c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  <c r="AX169" s="17"/>
      <c r="AY169" s="17"/>
      <c r="AZ169" s="17"/>
      <c r="BA169" s="56">
        <v>0</v>
      </c>
    </row>
    <row r="170" spans="1:53" x14ac:dyDescent="0.25">
      <c r="A170" s="23"/>
      <c r="B170" s="10"/>
      <c r="C170" s="9"/>
      <c r="D170" s="49"/>
      <c r="E170" s="55">
        <f t="shared" si="3"/>
        <v>0</v>
      </c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  <c r="AX170" s="17"/>
      <c r="AY170" s="17"/>
      <c r="AZ170" s="17"/>
      <c r="BA170" s="56">
        <v>0</v>
      </c>
    </row>
    <row r="171" spans="1:53" x14ac:dyDescent="0.25">
      <c r="A171" s="23"/>
      <c r="B171" s="10"/>
      <c r="C171" s="9"/>
      <c r="D171" s="49"/>
      <c r="E171" s="55">
        <f t="shared" si="3"/>
        <v>0</v>
      </c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  <c r="AX171" s="17"/>
      <c r="AY171" s="17"/>
      <c r="AZ171" s="17"/>
      <c r="BA171" s="56">
        <v>0</v>
      </c>
    </row>
    <row r="172" spans="1:53" x14ac:dyDescent="0.25">
      <c r="A172" s="23"/>
      <c r="B172" s="10"/>
      <c r="C172" s="9"/>
      <c r="D172" s="49"/>
      <c r="E172" s="55">
        <f t="shared" si="3"/>
        <v>0</v>
      </c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  <c r="AX172" s="17"/>
      <c r="AY172" s="17"/>
      <c r="AZ172" s="17"/>
      <c r="BA172" s="56">
        <v>0</v>
      </c>
    </row>
    <row r="173" spans="1:53" x14ac:dyDescent="0.25">
      <c r="A173" s="23"/>
      <c r="B173" s="10"/>
      <c r="C173" s="9"/>
      <c r="D173" s="49"/>
      <c r="E173" s="55">
        <f t="shared" si="3"/>
        <v>0</v>
      </c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  <c r="AX173" s="17"/>
      <c r="AY173" s="17"/>
      <c r="AZ173" s="17"/>
      <c r="BA173" s="56">
        <v>0</v>
      </c>
    </row>
    <row r="174" spans="1:53" x14ac:dyDescent="0.25">
      <c r="A174" s="23"/>
      <c r="B174" s="10"/>
      <c r="C174" s="9"/>
      <c r="D174" s="49"/>
      <c r="E174" s="55">
        <f t="shared" si="3"/>
        <v>0</v>
      </c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  <c r="AX174" s="17"/>
      <c r="AY174" s="17"/>
      <c r="AZ174" s="17"/>
      <c r="BA174" s="56">
        <v>0</v>
      </c>
    </row>
    <row r="175" spans="1:53" x14ac:dyDescent="0.25">
      <c r="A175" s="25">
        <v>5</v>
      </c>
      <c r="B175" s="22" t="s">
        <v>48</v>
      </c>
      <c r="C175" s="22"/>
      <c r="D175" s="22"/>
      <c r="E175" s="55">
        <f t="shared" si="3"/>
        <v>0</v>
      </c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56">
        <v>0</v>
      </c>
    </row>
    <row r="176" spans="1:53" x14ac:dyDescent="0.25">
      <c r="A176" s="23" t="s">
        <v>170</v>
      </c>
      <c r="B176" s="10" t="s">
        <v>779</v>
      </c>
      <c r="C176" s="9" t="s">
        <v>350</v>
      </c>
      <c r="D176" s="49">
        <v>27500</v>
      </c>
      <c r="E176" s="55">
        <f t="shared" si="3"/>
        <v>-27500</v>
      </c>
      <c r="F176" s="17">
        <v>20500</v>
      </c>
      <c r="G176" s="17">
        <v>20500</v>
      </c>
      <c r="H176" s="17">
        <v>20500</v>
      </c>
      <c r="I176" s="17">
        <v>20500</v>
      </c>
      <c r="J176" s="17">
        <v>20500</v>
      </c>
      <c r="K176" s="17">
        <v>20500</v>
      </c>
      <c r="L176" s="17"/>
      <c r="M176" s="17"/>
      <c r="N176" s="17">
        <v>25500</v>
      </c>
      <c r="O176" s="17"/>
      <c r="P176" s="17"/>
      <c r="Q176" s="17"/>
      <c r="R176" s="17"/>
      <c r="S176" s="17">
        <v>25000</v>
      </c>
      <c r="T176" s="17">
        <v>25000</v>
      </c>
      <c r="U176" s="17"/>
      <c r="V176" s="17"/>
      <c r="W176" s="17"/>
      <c r="X176" s="17">
        <v>20500</v>
      </c>
      <c r="Y176" s="17"/>
      <c r="Z176" s="17">
        <v>20500</v>
      </c>
      <c r="AA176" s="17"/>
      <c r="AB176" s="17"/>
      <c r="AC176" s="17"/>
      <c r="AD176" s="17"/>
      <c r="AE176" s="17"/>
      <c r="AF176" s="17">
        <v>27500</v>
      </c>
      <c r="AG176" s="17">
        <v>29400</v>
      </c>
      <c r="AH176" s="17"/>
      <c r="AI176" s="17"/>
      <c r="AJ176" s="17"/>
      <c r="AK176" s="17">
        <v>27500</v>
      </c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  <c r="AX176" s="17"/>
      <c r="AY176" s="17"/>
      <c r="AZ176" s="17"/>
      <c r="BA176" s="56">
        <v>0</v>
      </c>
    </row>
    <row r="177" spans="1:53" x14ac:dyDescent="0.25">
      <c r="A177" s="23" t="s">
        <v>171</v>
      </c>
      <c r="B177" s="10" t="s">
        <v>49</v>
      </c>
      <c r="C177" s="9" t="s">
        <v>351</v>
      </c>
      <c r="D177" s="49">
        <v>50000</v>
      </c>
      <c r="E177" s="55">
        <f t="shared" si="3"/>
        <v>-50000</v>
      </c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>
        <v>75000</v>
      </c>
      <c r="AH177" s="17"/>
      <c r="AI177" s="17"/>
      <c r="AJ177" s="17">
        <v>69500</v>
      </c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  <c r="AX177" s="17"/>
      <c r="AY177" s="17"/>
      <c r="AZ177" s="17"/>
      <c r="BA177" s="56">
        <v>0</v>
      </c>
    </row>
    <row r="178" spans="1:53" x14ac:dyDescent="0.25">
      <c r="A178" s="23" t="s">
        <v>172</v>
      </c>
      <c r="B178" s="10" t="s">
        <v>417</v>
      </c>
      <c r="C178" s="9" t="s">
        <v>350</v>
      </c>
      <c r="D178" s="49">
        <v>22500</v>
      </c>
      <c r="E178" s="55">
        <f t="shared" si="3"/>
        <v>-22500</v>
      </c>
      <c r="F178" s="17">
        <v>15000</v>
      </c>
      <c r="G178" s="17">
        <v>15000</v>
      </c>
      <c r="H178" s="17">
        <v>15000</v>
      </c>
      <c r="I178" s="17">
        <v>15000</v>
      </c>
      <c r="J178" s="17">
        <v>15000</v>
      </c>
      <c r="K178" s="17">
        <v>15000</v>
      </c>
      <c r="L178" s="17"/>
      <c r="M178" s="17"/>
      <c r="N178" s="17">
        <v>25000</v>
      </c>
      <c r="O178" s="17"/>
      <c r="P178" s="17"/>
      <c r="Q178" s="17"/>
      <c r="R178" s="17"/>
      <c r="S178" s="17">
        <v>30000</v>
      </c>
      <c r="T178" s="17">
        <v>30000</v>
      </c>
      <c r="U178" s="17"/>
      <c r="V178" s="17"/>
      <c r="W178" s="17"/>
      <c r="X178" s="17">
        <v>15000</v>
      </c>
      <c r="Y178" s="17"/>
      <c r="Z178" s="17">
        <v>15000</v>
      </c>
      <c r="AA178" s="17"/>
      <c r="AB178" s="17"/>
      <c r="AC178" s="17"/>
      <c r="AD178" s="17"/>
      <c r="AE178" s="17"/>
      <c r="AF178" s="17">
        <v>22500</v>
      </c>
      <c r="AG178" s="17">
        <v>24075</v>
      </c>
      <c r="AH178" s="17"/>
      <c r="AI178" s="17"/>
      <c r="AJ178" s="17"/>
      <c r="AK178" s="17">
        <v>22500</v>
      </c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  <c r="AX178" s="17"/>
      <c r="AY178" s="17"/>
      <c r="AZ178" s="17"/>
      <c r="BA178" s="56">
        <v>0</v>
      </c>
    </row>
    <row r="179" spans="1:53" x14ac:dyDescent="0.25">
      <c r="A179" s="23" t="s">
        <v>352</v>
      </c>
      <c r="B179" s="10" t="s">
        <v>388</v>
      </c>
      <c r="C179" s="9" t="s">
        <v>353</v>
      </c>
      <c r="D179" s="49">
        <v>38000</v>
      </c>
      <c r="E179" s="55">
        <f t="shared" si="3"/>
        <v>-38000</v>
      </c>
      <c r="F179" s="17">
        <v>38500</v>
      </c>
      <c r="G179" s="17">
        <v>38500</v>
      </c>
      <c r="H179" s="17">
        <v>38500</v>
      </c>
      <c r="I179" s="17">
        <v>38500</v>
      </c>
      <c r="J179" s="17">
        <v>38500</v>
      </c>
      <c r="K179" s="17">
        <v>38500</v>
      </c>
      <c r="L179" s="17"/>
      <c r="M179" s="17"/>
      <c r="N179" s="17">
        <v>38000</v>
      </c>
      <c r="O179" s="17"/>
      <c r="P179" s="17"/>
      <c r="Q179" s="17"/>
      <c r="R179" s="17"/>
      <c r="S179" s="17"/>
      <c r="T179" s="17"/>
      <c r="U179" s="17"/>
      <c r="V179" s="17"/>
      <c r="W179" s="17"/>
      <c r="X179" s="17">
        <v>38500</v>
      </c>
      <c r="Y179" s="17"/>
      <c r="Z179" s="17">
        <v>38500</v>
      </c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  <c r="AX179" s="17"/>
      <c r="AY179" s="17"/>
      <c r="AZ179" s="17"/>
      <c r="BA179" s="56">
        <v>0</v>
      </c>
    </row>
    <row r="180" spans="1:53" x14ac:dyDescent="0.25">
      <c r="A180" s="23" t="s">
        <v>354</v>
      </c>
      <c r="B180" s="10" t="s">
        <v>389</v>
      </c>
      <c r="C180" s="9" t="s">
        <v>707</v>
      </c>
      <c r="D180" s="49">
        <v>49500</v>
      </c>
      <c r="E180" s="55">
        <f t="shared" si="3"/>
        <v>-49500</v>
      </c>
      <c r="F180" s="17">
        <v>40500</v>
      </c>
      <c r="G180" s="17">
        <v>40500</v>
      </c>
      <c r="H180" s="17">
        <v>40500</v>
      </c>
      <c r="I180" s="17">
        <v>40500</v>
      </c>
      <c r="J180" s="17">
        <v>40500</v>
      </c>
      <c r="K180" s="17">
        <v>40500</v>
      </c>
      <c r="L180" s="17"/>
      <c r="M180" s="17"/>
      <c r="N180" s="17">
        <v>45000</v>
      </c>
      <c r="O180" s="17"/>
      <c r="P180" s="17"/>
      <c r="Q180" s="17"/>
      <c r="R180" s="17"/>
      <c r="S180" s="17"/>
      <c r="T180" s="17"/>
      <c r="U180" s="17"/>
      <c r="V180" s="17"/>
      <c r="W180" s="17"/>
      <c r="X180" s="17">
        <v>40500</v>
      </c>
      <c r="Y180" s="17"/>
      <c r="Z180" s="17">
        <v>40500</v>
      </c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  <c r="AX180" s="17"/>
      <c r="AY180" s="17"/>
      <c r="AZ180" s="17"/>
      <c r="BA180" s="56">
        <v>0</v>
      </c>
    </row>
    <row r="181" spans="1:53" x14ac:dyDescent="0.25">
      <c r="A181" s="23" t="s">
        <v>418</v>
      </c>
      <c r="B181" s="10" t="s">
        <v>477</v>
      </c>
      <c r="C181" s="9" t="s">
        <v>780</v>
      </c>
      <c r="D181" s="49">
        <v>27500</v>
      </c>
      <c r="E181" s="55">
        <f t="shared" si="3"/>
        <v>-27500</v>
      </c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>
        <v>27500</v>
      </c>
      <c r="AG181" s="17">
        <v>29400</v>
      </c>
      <c r="AH181" s="17"/>
      <c r="AI181" s="17"/>
      <c r="AJ181" s="17"/>
      <c r="AK181" s="17">
        <v>27500</v>
      </c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  <c r="AX181" s="17"/>
      <c r="AY181" s="17"/>
      <c r="AZ181" s="17"/>
      <c r="BA181" s="56">
        <v>0</v>
      </c>
    </row>
    <row r="182" spans="1:53" x14ac:dyDescent="0.25">
      <c r="A182" s="23" t="s">
        <v>419</v>
      </c>
      <c r="B182" s="10" t="s">
        <v>708</v>
      </c>
      <c r="C182" s="9" t="s">
        <v>709</v>
      </c>
      <c r="D182" s="49">
        <v>58000</v>
      </c>
      <c r="E182" s="55">
        <f t="shared" si="3"/>
        <v>-58000</v>
      </c>
      <c r="F182" s="17">
        <v>48500</v>
      </c>
      <c r="G182" s="17">
        <v>48500</v>
      </c>
      <c r="H182" s="17">
        <v>48500</v>
      </c>
      <c r="I182" s="17">
        <v>48500</v>
      </c>
      <c r="J182" s="17">
        <v>48500</v>
      </c>
      <c r="K182" s="17">
        <v>48500</v>
      </c>
      <c r="L182" s="17"/>
      <c r="M182" s="17"/>
      <c r="N182" s="17">
        <v>55000</v>
      </c>
      <c r="O182" s="17"/>
      <c r="P182" s="17"/>
      <c r="Q182" s="17"/>
      <c r="R182" s="17"/>
      <c r="S182" s="17"/>
      <c r="T182" s="17"/>
      <c r="U182" s="17"/>
      <c r="V182" s="17"/>
      <c r="W182" s="17"/>
      <c r="X182" s="17">
        <v>48500</v>
      </c>
      <c r="Y182" s="17"/>
      <c r="Z182" s="17">
        <v>48500</v>
      </c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  <c r="AX182" s="17"/>
      <c r="AY182" s="17"/>
      <c r="AZ182" s="17"/>
      <c r="BA182" s="56">
        <v>0</v>
      </c>
    </row>
    <row r="183" spans="1:53" x14ac:dyDescent="0.25">
      <c r="A183" s="23" t="s">
        <v>710</v>
      </c>
      <c r="B183" s="10" t="s">
        <v>711</v>
      </c>
      <c r="C183" s="9" t="s">
        <v>709</v>
      </c>
      <c r="D183" s="49">
        <v>75000</v>
      </c>
      <c r="E183" s="55">
        <f t="shared" si="3"/>
        <v>-75000</v>
      </c>
      <c r="F183" s="17">
        <v>61000</v>
      </c>
      <c r="G183" s="17">
        <v>61000</v>
      </c>
      <c r="H183" s="17">
        <v>61000</v>
      </c>
      <c r="I183" s="17">
        <v>61000</v>
      </c>
      <c r="J183" s="17">
        <v>61000</v>
      </c>
      <c r="K183" s="17">
        <v>61000</v>
      </c>
      <c r="L183" s="17"/>
      <c r="M183" s="17"/>
      <c r="N183" s="17">
        <v>75000</v>
      </c>
      <c r="O183" s="17"/>
      <c r="P183" s="17"/>
      <c r="Q183" s="17"/>
      <c r="R183" s="17"/>
      <c r="S183" s="17"/>
      <c r="T183" s="17"/>
      <c r="U183" s="17"/>
      <c r="V183" s="17"/>
      <c r="W183" s="17"/>
      <c r="X183" s="17">
        <v>61000</v>
      </c>
      <c r="Y183" s="17"/>
      <c r="Z183" s="17">
        <v>61000</v>
      </c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  <c r="AX183" s="17"/>
      <c r="AY183" s="17"/>
      <c r="AZ183" s="17"/>
      <c r="BA183" s="56">
        <v>0</v>
      </c>
    </row>
    <row r="184" spans="1:53" x14ac:dyDescent="0.25">
      <c r="A184" s="23" t="s">
        <v>712</v>
      </c>
      <c r="B184" s="10" t="s">
        <v>713</v>
      </c>
      <c r="C184" s="9" t="s">
        <v>714</v>
      </c>
      <c r="D184" s="49">
        <v>175000</v>
      </c>
      <c r="E184" s="55">
        <f t="shared" si="3"/>
        <v>-175000</v>
      </c>
      <c r="F184" s="17">
        <v>118000</v>
      </c>
      <c r="G184" s="17">
        <v>118000</v>
      </c>
      <c r="H184" s="17">
        <v>118000</v>
      </c>
      <c r="I184" s="17">
        <v>118000</v>
      </c>
      <c r="J184" s="17">
        <v>118000</v>
      </c>
      <c r="K184" s="17">
        <v>118000</v>
      </c>
      <c r="L184" s="17"/>
      <c r="M184" s="17">
        <v>230000</v>
      </c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>
        <v>118000</v>
      </c>
      <c r="Y184" s="17"/>
      <c r="Z184" s="17">
        <v>118000</v>
      </c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  <c r="AX184" s="17"/>
      <c r="AY184" s="17"/>
      <c r="AZ184" s="17"/>
      <c r="BA184" s="56">
        <v>0</v>
      </c>
    </row>
    <row r="185" spans="1:53" x14ac:dyDescent="0.25">
      <c r="A185" s="23" t="s">
        <v>715</v>
      </c>
      <c r="B185" s="10" t="s">
        <v>716</v>
      </c>
      <c r="C185" s="9" t="s">
        <v>717</v>
      </c>
      <c r="D185" s="49">
        <v>125000</v>
      </c>
      <c r="E185" s="55">
        <f t="shared" si="3"/>
        <v>-125000</v>
      </c>
      <c r="F185" s="17">
        <v>105000</v>
      </c>
      <c r="G185" s="17">
        <v>105000</v>
      </c>
      <c r="H185" s="17">
        <v>105000</v>
      </c>
      <c r="I185" s="17">
        <v>105000</v>
      </c>
      <c r="J185" s="17">
        <v>105000</v>
      </c>
      <c r="K185" s="17">
        <v>105000</v>
      </c>
      <c r="L185" s="17"/>
      <c r="M185" s="17"/>
      <c r="N185" s="17">
        <v>120000</v>
      </c>
      <c r="O185" s="17"/>
      <c r="P185" s="17"/>
      <c r="Q185" s="17"/>
      <c r="R185" s="17"/>
      <c r="S185" s="17"/>
      <c r="T185" s="17"/>
      <c r="U185" s="17"/>
      <c r="V185" s="17"/>
      <c r="W185" s="17"/>
      <c r="X185" s="17">
        <v>105000</v>
      </c>
      <c r="Y185" s="17"/>
      <c r="Z185" s="17">
        <v>105000</v>
      </c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  <c r="AX185" s="17"/>
      <c r="AY185" s="17"/>
      <c r="AZ185" s="17"/>
      <c r="BA185" s="56">
        <v>0</v>
      </c>
    </row>
    <row r="186" spans="1:53" x14ac:dyDescent="0.25">
      <c r="A186" s="23" t="s">
        <v>718</v>
      </c>
      <c r="B186" s="10" t="s">
        <v>719</v>
      </c>
      <c r="C186" s="9" t="s">
        <v>720</v>
      </c>
      <c r="D186" s="49">
        <v>40000</v>
      </c>
      <c r="E186" s="55">
        <f t="shared" si="3"/>
        <v>-40000</v>
      </c>
      <c r="F186" s="17">
        <v>32500</v>
      </c>
      <c r="G186" s="17">
        <v>32500</v>
      </c>
      <c r="H186" s="17">
        <v>32500</v>
      </c>
      <c r="I186" s="17">
        <v>32500</v>
      </c>
      <c r="J186" s="17">
        <v>32500</v>
      </c>
      <c r="K186" s="17">
        <v>32500</v>
      </c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>
        <v>32500</v>
      </c>
      <c r="Y186" s="17"/>
      <c r="Z186" s="17">
        <v>32500</v>
      </c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  <c r="AX186" s="17"/>
      <c r="AY186" s="17"/>
      <c r="AZ186" s="17"/>
      <c r="BA186" s="56">
        <v>0</v>
      </c>
    </row>
    <row r="187" spans="1:53" x14ac:dyDescent="0.25">
      <c r="A187" s="23" t="s">
        <v>721</v>
      </c>
      <c r="B187" s="10" t="s">
        <v>722</v>
      </c>
      <c r="C187" s="9" t="s">
        <v>350</v>
      </c>
      <c r="D187" s="49">
        <v>30000</v>
      </c>
      <c r="E187" s="55">
        <f t="shared" si="3"/>
        <v>-30000</v>
      </c>
      <c r="F187" s="17">
        <v>22500</v>
      </c>
      <c r="G187" s="17">
        <v>22500</v>
      </c>
      <c r="H187" s="17">
        <v>22500</v>
      </c>
      <c r="I187" s="17">
        <v>22500</v>
      </c>
      <c r="J187" s="17">
        <v>22500</v>
      </c>
      <c r="K187" s="17">
        <v>22500</v>
      </c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>
        <v>22500</v>
      </c>
      <c r="Y187" s="17"/>
      <c r="Z187" s="17">
        <v>22500</v>
      </c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  <c r="AX187" s="17"/>
      <c r="AY187" s="17"/>
      <c r="AZ187" s="17"/>
      <c r="BA187" s="56">
        <v>0</v>
      </c>
    </row>
    <row r="188" spans="1:53" x14ac:dyDescent="0.25">
      <c r="A188" s="23" t="s">
        <v>723</v>
      </c>
      <c r="B188" s="10" t="s">
        <v>724</v>
      </c>
      <c r="C188" s="9" t="s">
        <v>707</v>
      </c>
      <c r="D188" s="49">
        <v>49500</v>
      </c>
      <c r="E188" s="55">
        <f t="shared" si="3"/>
        <v>-49500</v>
      </c>
      <c r="F188" s="17">
        <v>40500</v>
      </c>
      <c r="G188" s="17">
        <v>40500</v>
      </c>
      <c r="H188" s="17">
        <v>40500</v>
      </c>
      <c r="I188" s="17">
        <v>40500</v>
      </c>
      <c r="J188" s="17">
        <v>40500</v>
      </c>
      <c r="K188" s="17">
        <v>40500</v>
      </c>
      <c r="L188" s="17"/>
      <c r="M188" s="17"/>
      <c r="N188" s="17">
        <v>45000</v>
      </c>
      <c r="O188" s="17"/>
      <c r="P188" s="17"/>
      <c r="Q188" s="17"/>
      <c r="R188" s="17"/>
      <c r="S188" s="17"/>
      <c r="T188" s="17"/>
      <c r="U188" s="17"/>
      <c r="V188" s="17"/>
      <c r="W188" s="17"/>
      <c r="X188" s="17">
        <v>40500</v>
      </c>
      <c r="Y188" s="17"/>
      <c r="Z188" s="17">
        <v>40500</v>
      </c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  <c r="AX188" s="17"/>
      <c r="AY188" s="17"/>
      <c r="AZ188" s="17"/>
      <c r="BA188" s="56">
        <v>0</v>
      </c>
    </row>
    <row r="189" spans="1:53" x14ac:dyDescent="0.25">
      <c r="A189" s="23" t="s">
        <v>725</v>
      </c>
      <c r="B189" s="10" t="s">
        <v>726</v>
      </c>
      <c r="C189" s="9" t="s">
        <v>727</v>
      </c>
      <c r="D189" s="49">
        <v>40000</v>
      </c>
      <c r="E189" s="55">
        <f t="shared" si="3"/>
        <v>-40000</v>
      </c>
      <c r="F189" s="17">
        <v>33000</v>
      </c>
      <c r="G189" s="17">
        <v>33000</v>
      </c>
      <c r="H189" s="17">
        <v>33000</v>
      </c>
      <c r="I189" s="17">
        <v>33000</v>
      </c>
      <c r="J189" s="17">
        <v>33000</v>
      </c>
      <c r="K189" s="17">
        <v>33000</v>
      </c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>
        <v>33000</v>
      </c>
      <c r="Y189" s="17"/>
      <c r="Z189" s="17">
        <v>33000</v>
      </c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  <c r="AX189" s="17"/>
      <c r="AY189" s="17"/>
      <c r="AZ189" s="17"/>
      <c r="BA189" s="56">
        <v>0</v>
      </c>
    </row>
    <row r="190" spans="1:53" x14ac:dyDescent="0.25">
      <c r="A190" s="23" t="s">
        <v>728</v>
      </c>
      <c r="B190" s="10" t="s">
        <v>729</v>
      </c>
      <c r="C190" s="9" t="s">
        <v>350</v>
      </c>
      <c r="D190" s="49">
        <v>90000</v>
      </c>
      <c r="E190" s="55">
        <f t="shared" si="3"/>
        <v>-90000</v>
      </c>
      <c r="F190" s="17">
        <v>69500</v>
      </c>
      <c r="G190" s="17">
        <v>69500</v>
      </c>
      <c r="H190" s="17">
        <v>69500</v>
      </c>
      <c r="I190" s="17">
        <v>69500</v>
      </c>
      <c r="J190" s="17">
        <v>69500</v>
      </c>
      <c r="K190" s="17">
        <v>69500</v>
      </c>
      <c r="L190" s="17"/>
      <c r="M190" s="17"/>
      <c r="N190" s="17">
        <v>90000</v>
      </c>
      <c r="O190" s="17"/>
      <c r="P190" s="17"/>
      <c r="Q190" s="17"/>
      <c r="R190" s="17"/>
      <c r="S190" s="17"/>
      <c r="T190" s="17"/>
      <c r="U190" s="17"/>
      <c r="V190" s="17"/>
      <c r="W190" s="17"/>
      <c r="X190" s="17">
        <v>69500</v>
      </c>
      <c r="Y190" s="17"/>
      <c r="Z190" s="17">
        <v>69500</v>
      </c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  <c r="AX190" s="17"/>
      <c r="AY190" s="17"/>
      <c r="AZ190" s="17"/>
      <c r="BA190" s="56">
        <v>0</v>
      </c>
    </row>
    <row r="191" spans="1:53" x14ac:dyDescent="0.25">
      <c r="A191" s="23" t="s">
        <v>730</v>
      </c>
      <c r="B191" s="10" t="s">
        <v>731</v>
      </c>
      <c r="C191" s="9" t="s">
        <v>732</v>
      </c>
      <c r="D191" s="49">
        <v>81000</v>
      </c>
      <c r="E191" s="55">
        <f t="shared" si="3"/>
        <v>-81000</v>
      </c>
      <c r="F191" s="17">
        <v>55000</v>
      </c>
      <c r="G191" s="17">
        <v>55000</v>
      </c>
      <c r="H191" s="17">
        <v>55000</v>
      </c>
      <c r="I191" s="17">
        <v>55000</v>
      </c>
      <c r="J191" s="17">
        <v>55000</v>
      </c>
      <c r="K191" s="17">
        <v>55000</v>
      </c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>
        <v>55000</v>
      </c>
      <c r="Y191" s="17"/>
      <c r="Z191" s="17">
        <v>55000</v>
      </c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  <c r="AX191" s="17"/>
      <c r="AY191" s="17"/>
      <c r="AZ191" s="17"/>
      <c r="BA191" s="56">
        <v>0</v>
      </c>
    </row>
    <row r="192" spans="1:53" x14ac:dyDescent="0.25">
      <c r="A192" s="23" t="s">
        <v>733</v>
      </c>
      <c r="B192" s="10" t="s">
        <v>734</v>
      </c>
      <c r="C192" s="9" t="s">
        <v>709</v>
      </c>
      <c r="D192" s="49">
        <v>45000</v>
      </c>
      <c r="E192" s="55">
        <f t="shared" si="3"/>
        <v>-45000</v>
      </c>
      <c r="F192" s="17">
        <v>38500</v>
      </c>
      <c r="G192" s="17">
        <v>38500</v>
      </c>
      <c r="H192" s="17">
        <v>38500</v>
      </c>
      <c r="I192" s="17">
        <v>38500</v>
      </c>
      <c r="J192" s="17">
        <v>38500</v>
      </c>
      <c r="K192" s="17">
        <v>38500</v>
      </c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>
        <v>38500</v>
      </c>
      <c r="Y192" s="17"/>
      <c r="Z192" s="17">
        <v>38500</v>
      </c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  <c r="AX192" s="17"/>
      <c r="AY192" s="17"/>
      <c r="AZ192" s="17"/>
      <c r="BA192" s="56">
        <v>0</v>
      </c>
    </row>
    <row r="193" spans="1:53" x14ac:dyDescent="0.25">
      <c r="A193" s="23" t="s">
        <v>735</v>
      </c>
      <c r="B193" s="10" t="s">
        <v>736</v>
      </c>
      <c r="C193" s="9" t="s">
        <v>737</v>
      </c>
      <c r="D193" s="49">
        <v>55000</v>
      </c>
      <c r="E193" s="55">
        <f t="shared" si="3"/>
        <v>-55000</v>
      </c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  <c r="AX193" s="17"/>
      <c r="AY193" s="17"/>
      <c r="AZ193" s="17"/>
      <c r="BA193" s="56">
        <v>0</v>
      </c>
    </row>
    <row r="194" spans="1:53" x14ac:dyDescent="0.25">
      <c r="A194" s="23" t="s">
        <v>781</v>
      </c>
      <c r="B194" s="10" t="s">
        <v>782</v>
      </c>
      <c r="C194" s="9" t="s">
        <v>783</v>
      </c>
      <c r="D194" s="49">
        <v>40000</v>
      </c>
      <c r="E194" s="55">
        <f t="shared" si="3"/>
        <v>-40000</v>
      </c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>
        <v>40000</v>
      </c>
      <c r="AG194" s="17">
        <v>42800</v>
      </c>
      <c r="AH194" s="17"/>
      <c r="AI194" s="17"/>
      <c r="AJ194" s="17"/>
      <c r="AK194" s="17">
        <v>40000</v>
      </c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  <c r="AX194" s="17"/>
      <c r="AY194" s="17"/>
      <c r="AZ194" s="17"/>
      <c r="BA194" s="56">
        <v>0</v>
      </c>
    </row>
    <row r="195" spans="1:53" x14ac:dyDescent="0.25">
      <c r="A195" s="23"/>
      <c r="B195" s="10"/>
      <c r="C195" s="9"/>
      <c r="D195" s="49"/>
      <c r="E195" s="55">
        <f t="shared" si="3"/>
        <v>0</v>
      </c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  <c r="AX195" s="17"/>
      <c r="AY195" s="17"/>
      <c r="AZ195" s="17"/>
      <c r="BA195" s="56">
        <v>0</v>
      </c>
    </row>
    <row r="196" spans="1:53" x14ac:dyDescent="0.25">
      <c r="A196" s="23"/>
      <c r="B196" s="10"/>
      <c r="C196" s="9"/>
      <c r="D196" s="49"/>
      <c r="E196" s="55">
        <f t="shared" si="3"/>
        <v>0</v>
      </c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  <c r="AX196" s="17"/>
      <c r="AY196" s="17"/>
      <c r="AZ196" s="17"/>
      <c r="BA196" s="56">
        <v>0</v>
      </c>
    </row>
    <row r="197" spans="1:53" x14ac:dyDescent="0.25">
      <c r="A197" s="23"/>
      <c r="B197" s="10"/>
      <c r="C197" s="9"/>
      <c r="D197" s="49"/>
      <c r="E197" s="55">
        <f t="shared" si="3"/>
        <v>0</v>
      </c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  <c r="AX197" s="17"/>
      <c r="AY197" s="17"/>
      <c r="AZ197" s="17"/>
      <c r="BA197" s="56">
        <v>0</v>
      </c>
    </row>
    <row r="198" spans="1:53" x14ac:dyDescent="0.25">
      <c r="A198" s="25">
        <v>6</v>
      </c>
      <c r="B198" s="22" t="s">
        <v>50</v>
      </c>
      <c r="C198" s="22"/>
      <c r="D198" s="22"/>
      <c r="E198" s="55">
        <f t="shared" si="3"/>
        <v>0</v>
      </c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56">
        <v>0</v>
      </c>
    </row>
    <row r="199" spans="1:53" x14ac:dyDescent="0.25">
      <c r="A199" s="23" t="s">
        <v>9</v>
      </c>
      <c r="B199" s="10" t="s">
        <v>51</v>
      </c>
      <c r="C199" s="9" t="s">
        <v>268</v>
      </c>
      <c r="D199" s="49">
        <v>380000</v>
      </c>
      <c r="E199" s="55">
        <f t="shared" ref="E199:E262" si="4">+(D199*$E$5)-D199</f>
        <v>-380000</v>
      </c>
      <c r="F199" s="17"/>
      <c r="G199" s="17"/>
      <c r="H199" s="17"/>
      <c r="I199" s="17"/>
      <c r="J199" s="17"/>
      <c r="K199" s="17"/>
      <c r="L199" s="17">
        <v>350000</v>
      </c>
      <c r="M199" s="17"/>
      <c r="N199" s="17"/>
      <c r="O199" s="17"/>
      <c r="P199" s="17"/>
      <c r="Q199" s="17">
        <v>35000</v>
      </c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  <c r="AX199" s="17"/>
      <c r="AY199" s="17"/>
      <c r="AZ199" s="17"/>
      <c r="BA199" s="56">
        <v>0</v>
      </c>
    </row>
    <row r="200" spans="1:53" ht="25.5" x14ac:dyDescent="0.25">
      <c r="A200" s="23" t="s">
        <v>173</v>
      </c>
      <c r="B200" s="10" t="s">
        <v>52</v>
      </c>
      <c r="C200" s="9"/>
      <c r="D200" s="49">
        <v>5500</v>
      </c>
      <c r="E200" s="55">
        <f t="shared" si="4"/>
        <v>-5500</v>
      </c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>
        <v>5800</v>
      </c>
      <c r="S200" s="17"/>
      <c r="T200" s="17"/>
      <c r="U200" s="17"/>
      <c r="V200" s="17">
        <v>5800</v>
      </c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  <c r="AX200" s="17"/>
      <c r="AY200" s="17"/>
      <c r="AZ200" s="17"/>
      <c r="BA200" s="56">
        <v>0</v>
      </c>
    </row>
    <row r="201" spans="1:53" x14ac:dyDescent="0.25">
      <c r="A201" s="23" t="s">
        <v>174</v>
      </c>
      <c r="B201" s="10" t="s">
        <v>53</v>
      </c>
      <c r="C201" s="9" t="s">
        <v>355</v>
      </c>
      <c r="D201" s="49">
        <v>9000</v>
      </c>
      <c r="E201" s="55">
        <f t="shared" si="4"/>
        <v>-9000</v>
      </c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  <c r="AX201" s="17"/>
      <c r="AY201" s="17"/>
      <c r="AZ201" s="17"/>
      <c r="BA201" s="56">
        <v>0</v>
      </c>
    </row>
    <row r="202" spans="1:53" ht="25.5" x14ac:dyDescent="0.25">
      <c r="A202" s="23" t="s">
        <v>478</v>
      </c>
      <c r="B202" s="10" t="s">
        <v>479</v>
      </c>
      <c r="C202" s="9" t="s">
        <v>355</v>
      </c>
      <c r="D202" s="17">
        <v>380000</v>
      </c>
      <c r="E202" s="55">
        <f t="shared" si="4"/>
        <v>-380000</v>
      </c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  <c r="AX202" s="17"/>
      <c r="AY202" s="17"/>
      <c r="AZ202" s="17"/>
      <c r="BA202" s="56">
        <v>0</v>
      </c>
    </row>
    <row r="203" spans="1:53" x14ac:dyDescent="0.25">
      <c r="A203" s="23"/>
      <c r="B203" s="10"/>
      <c r="C203" s="9"/>
      <c r="D203" s="49"/>
      <c r="E203" s="55">
        <f t="shared" si="4"/>
        <v>0</v>
      </c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  <c r="AX203" s="17"/>
      <c r="AY203" s="17"/>
      <c r="AZ203" s="17"/>
      <c r="BA203" s="56">
        <v>0</v>
      </c>
    </row>
    <row r="204" spans="1:53" x14ac:dyDescent="0.25">
      <c r="A204" s="23"/>
      <c r="B204" s="10"/>
      <c r="C204" s="9"/>
      <c r="D204" s="49"/>
      <c r="E204" s="55">
        <f t="shared" si="4"/>
        <v>0</v>
      </c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  <c r="AX204" s="17"/>
      <c r="AY204" s="17"/>
      <c r="AZ204" s="17"/>
      <c r="BA204" s="56">
        <v>0</v>
      </c>
    </row>
    <row r="205" spans="1:53" x14ac:dyDescent="0.25">
      <c r="A205" s="23"/>
      <c r="B205" s="10"/>
      <c r="C205" s="9"/>
      <c r="D205" s="49"/>
      <c r="E205" s="55">
        <f t="shared" si="4"/>
        <v>0</v>
      </c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  <c r="AX205" s="17"/>
      <c r="AY205" s="17"/>
      <c r="AZ205" s="17"/>
      <c r="BA205" s="56">
        <v>0</v>
      </c>
    </row>
    <row r="206" spans="1:53" x14ac:dyDescent="0.25">
      <c r="A206" s="23"/>
      <c r="B206" s="10"/>
      <c r="C206" s="9"/>
      <c r="D206" s="49"/>
      <c r="E206" s="55">
        <f t="shared" si="4"/>
        <v>0</v>
      </c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  <c r="AX206" s="17"/>
      <c r="AY206" s="17"/>
      <c r="AZ206" s="17"/>
      <c r="BA206" s="56">
        <v>0</v>
      </c>
    </row>
    <row r="207" spans="1:53" x14ac:dyDescent="0.25">
      <c r="A207" s="23"/>
      <c r="B207" s="10"/>
      <c r="C207" s="9"/>
      <c r="D207" s="49"/>
      <c r="E207" s="55">
        <f t="shared" si="4"/>
        <v>0</v>
      </c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  <c r="AX207" s="17"/>
      <c r="AY207" s="17"/>
      <c r="AZ207" s="17"/>
      <c r="BA207" s="56">
        <v>0</v>
      </c>
    </row>
    <row r="208" spans="1:53" x14ac:dyDescent="0.25">
      <c r="A208" s="25">
        <v>7</v>
      </c>
      <c r="B208" s="22" t="s">
        <v>54</v>
      </c>
      <c r="C208" s="22"/>
      <c r="D208" s="22"/>
      <c r="E208" s="55">
        <f t="shared" si="4"/>
        <v>0</v>
      </c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56">
        <v>0</v>
      </c>
    </row>
    <row r="209" spans="1:53" x14ac:dyDescent="0.25">
      <c r="A209" s="23" t="s">
        <v>175</v>
      </c>
      <c r="B209" s="10" t="s">
        <v>390</v>
      </c>
      <c r="C209" s="9" t="s">
        <v>268</v>
      </c>
      <c r="D209" s="49">
        <v>15000</v>
      </c>
      <c r="E209" s="55">
        <f t="shared" si="4"/>
        <v>-15000</v>
      </c>
      <c r="F209" s="17">
        <v>30000</v>
      </c>
      <c r="G209" s="17">
        <v>70000</v>
      </c>
      <c r="H209" s="17">
        <v>30000</v>
      </c>
      <c r="I209" s="17">
        <v>30000</v>
      </c>
      <c r="J209" s="17"/>
      <c r="K209" s="17"/>
      <c r="L209" s="17">
        <v>45000</v>
      </c>
      <c r="M209" s="17">
        <v>65000</v>
      </c>
      <c r="N209" s="17">
        <v>40000</v>
      </c>
      <c r="O209" s="17">
        <v>22000</v>
      </c>
      <c r="P209" s="17">
        <v>22000</v>
      </c>
      <c r="Q209" s="17">
        <v>45000</v>
      </c>
      <c r="R209" s="17">
        <v>20000</v>
      </c>
      <c r="S209" s="17">
        <v>45000</v>
      </c>
      <c r="T209" s="17">
        <v>25000</v>
      </c>
      <c r="U209" s="17">
        <v>30000</v>
      </c>
      <c r="V209" s="17">
        <v>20000</v>
      </c>
      <c r="W209" s="17"/>
      <c r="X209" s="17"/>
      <c r="Y209" s="17">
        <v>80000</v>
      </c>
      <c r="Z209" s="17">
        <v>30000</v>
      </c>
      <c r="AA209" s="17">
        <v>25000</v>
      </c>
      <c r="AB209" s="17">
        <v>25000</v>
      </c>
      <c r="AC209" s="17">
        <v>25000</v>
      </c>
      <c r="AD209" s="17"/>
      <c r="AE209" s="17"/>
      <c r="AF209" s="17">
        <v>25000</v>
      </c>
      <c r="AG209" s="17">
        <v>27000</v>
      </c>
      <c r="AH209" s="17">
        <v>40000</v>
      </c>
      <c r="AI209" s="17"/>
      <c r="AJ209" s="17">
        <v>40000</v>
      </c>
      <c r="AK209" s="17">
        <v>25000</v>
      </c>
      <c r="AL209" s="17"/>
      <c r="AM209" s="17">
        <v>50000</v>
      </c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  <c r="AX209" s="17"/>
      <c r="AY209" s="17"/>
      <c r="AZ209" s="17"/>
      <c r="BA209" s="56">
        <v>25000</v>
      </c>
    </row>
    <row r="210" spans="1:53" x14ac:dyDescent="0.25">
      <c r="A210" s="23" t="s">
        <v>176</v>
      </c>
      <c r="B210" s="10" t="s">
        <v>738</v>
      </c>
      <c r="C210" s="9" t="s">
        <v>268</v>
      </c>
      <c r="D210" s="49"/>
      <c r="E210" s="55">
        <f t="shared" si="4"/>
        <v>0</v>
      </c>
      <c r="F210" s="17">
        <v>100000</v>
      </c>
      <c r="G210" s="17">
        <v>100000</v>
      </c>
      <c r="H210" s="17">
        <v>100000</v>
      </c>
      <c r="I210" s="17">
        <v>100000</v>
      </c>
      <c r="J210" s="17">
        <v>100000</v>
      </c>
      <c r="K210" s="17">
        <v>100000</v>
      </c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>
        <v>100000</v>
      </c>
      <c r="X210" s="17">
        <v>100000</v>
      </c>
      <c r="Y210" s="17"/>
      <c r="Z210" s="17">
        <v>100000</v>
      </c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17"/>
      <c r="BA210" s="56">
        <v>0</v>
      </c>
    </row>
    <row r="211" spans="1:53" x14ac:dyDescent="0.25">
      <c r="A211" s="23" t="s">
        <v>177</v>
      </c>
      <c r="B211" s="10" t="s">
        <v>425</v>
      </c>
      <c r="C211" s="9" t="s">
        <v>268</v>
      </c>
      <c r="D211" s="49"/>
      <c r="E211" s="55">
        <f t="shared" si="4"/>
        <v>0</v>
      </c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17"/>
      <c r="BA211" s="56">
        <v>0</v>
      </c>
    </row>
    <row r="212" spans="1:53" x14ac:dyDescent="0.25">
      <c r="A212" s="23" t="s">
        <v>178</v>
      </c>
      <c r="B212" s="10" t="s">
        <v>739</v>
      </c>
      <c r="C212" s="9" t="s">
        <v>268</v>
      </c>
      <c r="D212" s="49"/>
      <c r="E212" s="55">
        <f t="shared" si="4"/>
        <v>0</v>
      </c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>
        <v>70000</v>
      </c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17"/>
      <c r="BA212" s="56">
        <v>0</v>
      </c>
    </row>
    <row r="213" spans="1:53" x14ac:dyDescent="0.25">
      <c r="A213" s="23" t="s">
        <v>244</v>
      </c>
      <c r="B213" s="10" t="s">
        <v>430</v>
      </c>
      <c r="C213" s="9" t="s">
        <v>268</v>
      </c>
      <c r="D213" s="49"/>
      <c r="E213" s="55">
        <f t="shared" si="4"/>
        <v>0</v>
      </c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  <c r="AX213" s="17"/>
      <c r="AY213" s="17"/>
      <c r="AZ213" s="17"/>
      <c r="BA213" s="56">
        <v>0</v>
      </c>
    </row>
    <row r="214" spans="1:53" x14ac:dyDescent="0.25">
      <c r="A214" s="23" t="s">
        <v>459</v>
      </c>
      <c r="B214" s="10" t="s">
        <v>740</v>
      </c>
      <c r="C214" s="9" t="s">
        <v>268</v>
      </c>
      <c r="D214" s="49"/>
      <c r="E214" s="55">
        <f t="shared" si="4"/>
        <v>0</v>
      </c>
      <c r="F214" s="17">
        <v>20000</v>
      </c>
      <c r="G214" s="17">
        <v>20000</v>
      </c>
      <c r="H214" s="17">
        <v>20000</v>
      </c>
      <c r="I214" s="17">
        <v>20000</v>
      </c>
      <c r="J214" s="17">
        <v>20000</v>
      </c>
      <c r="K214" s="17">
        <v>20000</v>
      </c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>
        <v>20000</v>
      </c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  <c r="AX214" s="17"/>
      <c r="AY214" s="17"/>
      <c r="AZ214" s="17"/>
      <c r="BA214" s="56">
        <v>0</v>
      </c>
    </row>
    <row r="215" spans="1:53" x14ac:dyDescent="0.25">
      <c r="A215" s="23" t="s">
        <v>460</v>
      </c>
      <c r="B215" s="10" t="s">
        <v>461</v>
      </c>
      <c r="C215" s="9" t="s">
        <v>268</v>
      </c>
      <c r="D215" s="49"/>
      <c r="E215" s="55">
        <f t="shared" si="4"/>
        <v>0</v>
      </c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  <c r="AX215" s="17"/>
      <c r="AY215" s="17"/>
      <c r="AZ215" s="17"/>
      <c r="BA215" s="56">
        <v>0</v>
      </c>
    </row>
    <row r="216" spans="1:53" x14ac:dyDescent="0.25">
      <c r="A216" s="23"/>
      <c r="B216" s="10"/>
      <c r="C216" s="9"/>
      <c r="D216" s="49"/>
      <c r="E216" s="55">
        <f t="shared" si="4"/>
        <v>0</v>
      </c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  <c r="AX216" s="17"/>
      <c r="AY216" s="17"/>
      <c r="AZ216" s="17"/>
      <c r="BA216" s="56">
        <v>0</v>
      </c>
    </row>
    <row r="217" spans="1:53" x14ac:dyDescent="0.25">
      <c r="A217" s="25" t="s">
        <v>55</v>
      </c>
      <c r="B217" s="22" t="s">
        <v>56</v>
      </c>
      <c r="C217" s="22"/>
      <c r="D217" s="22"/>
      <c r="E217" s="55">
        <f t="shared" si="4"/>
        <v>0</v>
      </c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56">
        <v>0</v>
      </c>
    </row>
    <row r="218" spans="1:53" ht="25.5" x14ac:dyDescent="0.25">
      <c r="A218" s="23" t="s">
        <v>179</v>
      </c>
      <c r="B218" s="10" t="s">
        <v>387</v>
      </c>
      <c r="C218" s="9" t="s">
        <v>268</v>
      </c>
      <c r="D218" s="49">
        <v>600</v>
      </c>
      <c r="E218" s="55">
        <f t="shared" si="4"/>
        <v>-600</v>
      </c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>
        <v>600</v>
      </c>
      <c r="V218" s="17"/>
      <c r="W218" s="17"/>
      <c r="X218" s="17"/>
      <c r="Y218" s="17">
        <v>700</v>
      </c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  <c r="AX218" s="17"/>
      <c r="AY218" s="17"/>
      <c r="AZ218" s="17"/>
      <c r="BA218" s="56">
        <v>0</v>
      </c>
    </row>
    <row r="219" spans="1:53" ht="25.5" x14ac:dyDescent="0.25">
      <c r="A219" s="23" t="s">
        <v>180</v>
      </c>
      <c r="B219" s="10" t="s">
        <v>376</v>
      </c>
      <c r="C219" s="9" t="s">
        <v>268</v>
      </c>
      <c r="D219" s="49">
        <v>20000</v>
      </c>
      <c r="E219" s="55">
        <f t="shared" si="4"/>
        <v>-20000</v>
      </c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  <c r="AX219" s="17"/>
      <c r="AY219" s="17"/>
      <c r="AZ219" s="17"/>
      <c r="BA219" s="56">
        <v>0</v>
      </c>
    </row>
    <row r="220" spans="1:53" ht="25.5" x14ac:dyDescent="0.25">
      <c r="A220" s="23" t="s">
        <v>181</v>
      </c>
      <c r="B220" s="10" t="s">
        <v>57</v>
      </c>
      <c r="C220" s="9" t="s">
        <v>268</v>
      </c>
      <c r="D220" s="49">
        <v>600</v>
      </c>
      <c r="E220" s="55">
        <f t="shared" si="4"/>
        <v>-600</v>
      </c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  <c r="AX220" s="17"/>
      <c r="AY220" s="17"/>
      <c r="AZ220" s="17"/>
      <c r="BA220" s="56">
        <v>0</v>
      </c>
    </row>
    <row r="221" spans="1:53" ht="25.5" x14ac:dyDescent="0.25">
      <c r="A221" s="23" t="s">
        <v>182</v>
      </c>
      <c r="B221" s="10" t="s">
        <v>792</v>
      </c>
      <c r="C221" s="9" t="s">
        <v>268</v>
      </c>
      <c r="D221" s="49">
        <v>1900</v>
      </c>
      <c r="E221" s="55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>
        <v>1800</v>
      </c>
      <c r="R221" s="17"/>
      <c r="S221" s="17"/>
      <c r="T221" s="17"/>
      <c r="U221" s="17"/>
      <c r="V221" s="17"/>
      <c r="W221" s="17"/>
      <c r="X221" s="17"/>
      <c r="Y221" s="17">
        <v>700</v>
      </c>
      <c r="Z221" s="17"/>
      <c r="AA221" s="17">
        <v>1800</v>
      </c>
      <c r="AB221" s="17">
        <v>1800</v>
      </c>
      <c r="AC221" s="17">
        <v>1800</v>
      </c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  <c r="AX221" s="17"/>
      <c r="AY221" s="17"/>
      <c r="AZ221" s="17"/>
      <c r="BA221" s="56">
        <v>0</v>
      </c>
    </row>
    <row r="222" spans="1:53" x14ac:dyDescent="0.25">
      <c r="A222" s="23" t="s">
        <v>183</v>
      </c>
      <c r="B222" s="10" t="s">
        <v>58</v>
      </c>
      <c r="C222" s="9" t="s">
        <v>268</v>
      </c>
      <c r="D222" s="49">
        <v>25000</v>
      </c>
      <c r="E222" s="55">
        <f t="shared" si="4"/>
        <v>-25000</v>
      </c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>
        <v>2050</v>
      </c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  <c r="AX222" s="17"/>
      <c r="AY222" s="17"/>
      <c r="AZ222" s="17"/>
      <c r="BA222" s="56">
        <v>0</v>
      </c>
    </row>
    <row r="223" spans="1:53" ht="25.5" x14ac:dyDescent="0.25">
      <c r="A223" s="23" t="s">
        <v>257</v>
      </c>
      <c r="B223" s="10" t="s">
        <v>377</v>
      </c>
      <c r="C223" s="9" t="s">
        <v>268</v>
      </c>
      <c r="D223" s="49">
        <v>16000</v>
      </c>
      <c r="E223" s="55">
        <f t="shared" si="4"/>
        <v>-16000</v>
      </c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  <c r="AX223" s="17"/>
      <c r="AY223" s="17"/>
      <c r="AZ223" s="17"/>
      <c r="BA223" s="56">
        <v>0</v>
      </c>
    </row>
    <row r="224" spans="1:53" ht="25.5" x14ac:dyDescent="0.25">
      <c r="A224" s="23" t="s">
        <v>375</v>
      </c>
      <c r="B224" s="10" t="s">
        <v>378</v>
      </c>
      <c r="C224" s="9" t="s">
        <v>268</v>
      </c>
      <c r="D224" s="49">
        <v>20000</v>
      </c>
      <c r="E224" s="55">
        <f t="shared" si="4"/>
        <v>-20000</v>
      </c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  <c r="AX224" s="17"/>
      <c r="AY224" s="17"/>
      <c r="AZ224" s="17"/>
      <c r="BA224" s="56">
        <v>0</v>
      </c>
    </row>
    <row r="225" spans="1:53" x14ac:dyDescent="0.25">
      <c r="A225" s="23" t="s">
        <v>380</v>
      </c>
      <c r="B225" s="10" t="s">
        <v>381</v>
      </c>
      <c r="C225" s="9" t="s">
        <v>268</v>
      </c>
      <c r="D225" s="49">
        <v>400000</v>
      </c>
      <c r="E225" s="55">
        <f t="shared" si="4"/>
        <v>-400000</v>
      </c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  <c r="AX225" s="17"/>
      <c r="AY225" s="17"/>
      <c r="AZ225" s="17"/>
      <c r="BA225" s="56">
        <v>0</v>
      </c>
    </row>
    <row r="226" spans="1:53" x14ac:dyDescent="0.25">
      <c r="A226" s="23" t="s">
        <v>382</v>
      </c>
      <c r="B226" s="10" t="s">
        <v>480</v>
      </c>
      <c r="C226" s="9" t="s">
        <v>268</v>
      </c>
      <c r="D226" s="17">
        <v>9000</v>
      </c>
      <c r="E226" s="55">
        <f t="shared" si="4"/>
        <v>-9000</v>
      </c>
      <c r="F226" s="17"/>
      <c r="G226" s="17"/>
      <c r="H226" s="17"/>
      <c r="I226" s="17"/>
      <c r="J226" s="17"/>
      <c r="K226" s="17"/>
      <c r="L226" s="17">
        <v>7000</v>
      </c>
      <c r="M226" s="17">
        <v>7000</v>
      </c>
      <c r="N226" s="17">
        <v>7000</v>
      </c>
      <c r="O226" s="17">
        <v>7000</v>
      </c>
      <c r="P226" s="17">
        <v>7000</v>
      </c>
      <c r="Q226" s="17">
        <v>7000</v>
      </c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>
        <v>9000</v>
      </c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  <c r="AX226" s="17"/>
      <c r="AY226" s="17"/>
      <c r="AZ226" s="17"/>
      <c r="BA226" s="56">
        <v>0</v>
      </c>
    </row>
    <row r="227" spans="1:53" x14ac:dyDescent="0.25">
      <c r="A227" s="23" t="s">
        <v>386</v>
      </c>
      <c r="B227" s="10" t="s">
        <v>481</v>
      </c>
      <c r="C227" s="9" t="s">
        <v>268</v>
      </c>
      <c r="D227" s="17">
        <v>3500</v>
      </c>
      <c r="E227" s="55">
        <f t="shared" si="4"/>
        <v>-3500</v>
      </c>
      <c r="F227" s="17"/>
      <c r="G227" s="17"/>
      <c r="H227" s="17"/>
      <c r="I227" s="17"/>
      <c r="J227" s="17"/>
      <c r="K227" s="17"/>
      <c r="L227" s="17">
        <v>2500</v>
      </c>
      <c r="M227" s="17">
        <v>2500</v>
      </c>
      <c r="N227" s="17">
        <v>2500</v>
      </c>
      <c r="O227" s="17">
        <v>2500</v>
      </c>
      <c r="P227" s="17">
        <v>2500</v>
      </c>
      <c r="Q227" s="17">
        <v>2500</v>
      </c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  <c r="AX227" s="17"/>
      <c r="AY227" s="17"/>
      <c r="AZ227" s="17"/>
      <c r="BA227" s="56">
        <v>0</v>
      </c>
    </row>
    <row r="228" spans="1:53" x14ac:dyDescent="0.25">
      <c r="A228" s="23" t="s">
        <v>482</v>
      </c>
      <c r="B228" s="10" t="s">
        <v>483</v>
      </c>
      <c r="C228" s="9"/>
      <c r="D228" s="17">
        <v>800</v>
      </c>
      <c r="E228" s="55">
        <f t="shared" si="4"/>
        <v>-800</v>
      </c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  <c r="AX228" s="17"/>
      <c r="AY228" s="17"/>
      <c r="AZ228" s="17"/>
      <c r="BA228" s="56">
        <v>0</v>
      </c>
    </row>
    <row r="229" spans="1:53" ht="38.25" x14ac:dyDescent="0.25">
      <c r="A229" s="23" t="s">
        <v>484</v>
      </c>
      <c r="B229" s="10" t="s">
        <v>383</v>
      </c>
      <c r="C229" s="9" t="s">
        <v>268</v>
      </c>
      <c r="D229" s="49">
        <v>120000</v>
      </c>
      <c r="E229" s="55">
        <f t="shared" si="4"/>
        <v>-120000</v>
      </c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  <c r="AX229" s="17"/>
      <c r="AY229" s="17"/>
      <c r="AZ229" s="17"/>
      <c r="BA229" s="56">
        <v>0</v>
      </c>
    </row>
    <row r="230" spans="1:53" x14ac:dyDescent="0.25">
      <c r="A230" s="23" t="s">
        <v>485</v>
      </c>
      <c r="B230" s="10" t="s">
        <v>405</v>
      </c>
      <c r="C230" s="9" t="s">
        <v>268</v>
      </c>
      <c r="D230" s="49">
        <v>600</v>
      </c>
      <c r="E230" s="55">
        <f t="shared" si="4"/>
        <v>-600</v>
      </c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  <c r="AX230" s="17"/>
      <c r="AY230" s="17"/>
      <c r="AZ230" s="17"/>
      <c r="BA230" s="56">
        <v>0</v>
      </c>
    </row>
    <row r="231" spans="1:53" x14ac:dyDescent="0.25">
      <c r="A231" s="23"/>
      <c r="B231" s="10"/>
      <c r="C231" s="9"/>
      <c r="D231" s="49"/>
      <c r="E231" s="55">
        <f t="shared" si="4"/>
        <v>0</v>
      </c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  <c r="AX231" s="17"/>
      <c r="AY231" s="17"/>
      <c r="AZ231" s="17"/>
      <c r="BA231" s="56">
        <v>0</v>
      </c>
    </row>
    <row r="232" spans="1:53" x14ac:dyDescent="0.25">
      <c r="A232" s="23"/>
      <c r="B232" s="10"/>
      <c r="C232" s="9"/>
      <c r="D232" s="49"/>
      <c r="E232" s="55">
        <f t="shared" si="4"/>
        <v>0</v>
      </c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  <c r="AX232" s="17"/>
      <c r="AY232" s="17"/>
      <c r="AZ232" s="17"/>
      <c r="BA232" s="56">
        <v>0</v>
      </c>
    </row>
    <row r="233" spans="1:53" x14ac:dyDescent="0.25">
      <c r="A233" s="23"/>
      <c r="B233" s="10"/>
      <c r="C233" s="9"/>
      <c r="D233" s="49"/>
      <c r="E233" s="55">
        <f t="shared" si="4"/>
        <v>0</v>
      </c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  <c r="AX233" s="17"/>
      <c r="AY233" s="17"/>
      <c r="AZ233" s="17"/>
      <c r="BA233" s="56">
        <v>0</v>
      </c>
    </row>
    <row r="234" spans="1:53" x14ac:dyDescent="0.25">
      <c r="A234" s="23"/>
      <c r="B234" s="10"/>
      <c r="C234" s="9"/>
      <c r="D234" s="49"/>
      <c r="E234" s="55">
        <f t="shared" si="4"/>
        <v>0</v>
      </c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  <c r="AX234" s="17"/>
      <c r="AY234" s="17"/>
      <c r="AZ234" s="17"/>
      <c r="BA234" s="56">
        <v>0</v>
      </c>
    </row>
    <row r="235" spans="1:53" x14ac:dyDescent="0.25">
      <c r="A235" s="25" t="s">
        <v>59</v>
      </c>
      <c r="B235" s="22" t="s">
        <v>60</v>
      </c>
      <c r="C235" s="22"/>
      <c r="D235" s="22"/>
      <c r="E235" s="55">
        <f t="shared" si="4"/>
        <v>0</v>
      </c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56">
        <v>0</v>
      </c>
    </row>
    <row r="236" spans="1:53" ht="25.5" x14ac:dyDescent="0.25">
      <c r="A236" s="23" t="s">
        <v>184</v>
      </c>
      <c r="B236" s="10" t="s">
        <v>392</v>
      </c>
      <c r="C236" s="9" t="s">
        <v>268</v>
      </c>
      <c r="D236" s="49">
        <v>120000</v>
      </c>
      <c r="E236" s="55">
        <f t="shared" si="4"/>
        <v>-120000</v>
      </c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  <c r="AX236" s="17"/>
      <c r="AY236" s="17"/>
      <c r="AZ236" s="17"/>
      <c r="BA236" s="56">
        <v>0</v>
      </c>
    </row>
    <row r="237" spans="1:53" ht="25.5" x14ac:dyDescent="0.25">
      <c r="A237" s="23" t="s">
        <v>185</v>
      </c>
      <c r="B237" s="10" t="s">
        <v>393</v>
      </c>
      <c r="C237" s="9" t="s">
        <v>268</v>
      </c>
      <c r="D237" s="49">
        <v>100000</v>
      </c>
      <c r="E237" s="55">
        <f t="shared" si="4"/>
        <v>-100000</v>
      </c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>
        <v>125000</v>
      </c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  <c r="AX237" s="17"/>
      <c r="AY237" s="17"/>
      <c r="AZ237" s="17"/>
      <c r="BA237" s="56">
        <v>0</v>
      </c>
    </row>
    <row r="238" spans="1:53" ht="25.5" x14ac:dyDescent="0.25">
      <c r="A238" s="23" t="s">
        <v>186</v>
      </c>
      <c r="B238" s="10" t="s">
        <v>394</v>
      </c>
      <c r="C238" s="9" t="s">
        <v>268</v>
      </c>
      <c r="D238" s="49">
        <v>80000</v>
      </c>
      <c r="E238" s="55">
        <f t="shared" si="4"/>
        <v>-80000</v>
      </c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  <c r="AX238" s="17"/>
      <c r="AY238" s="17"/>
      <c r="AZ238" s="17"/>
      <c r="BA238" s="56">
        <v>0</v>
      </c>
    </row>
    <row r="239" spans="1:53" x14ac:dyDescent="0.25">
      <c r="A239" s="23" t="s">
        <v>187</v>
      </c>
      <c r="B239" s="10" t="s">
        <v>61</v>
      </c>
      <c r="C239" s="9" t="s">
        <v>268</v>
      </c>
      <c r="D239" s="49">
        <v>210000</v>
      </c>
      <c r="E239" s="55">
        <f t="shared" si="4"/>
        <v>-210000</v>
      </c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  <c r="AX239" s="17"/>
      <c r="AY239" s="17"/>
      <c r="AZ239" s="17"/>
      <c r="BA239" s="56">
        <v>0</v>
      </c>
    </row>
    <row r="240" spans="1:53" x14ac:dyDescent="0.25">
      <c r="A240" s="23" t="s">
        <v>188</v>
      </c>
      <c r="B240" s="10" t="s">
        <v>62</v>
      </c>
      <c r="C240" s="9" t="s">
        <v>268</v>
      </c>
      <c r="D240" s="49">
        <v>120000</v>
      </c>
      <c r="E240" s="55">
        <f t="shared" si="4"/>
        <v>-120000</v>
      </c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>
        <v>800</v>
      </c>
      <c r="R240" s="17"/>
      <c r="S240" s="17"/>
      <c r="T240" s="17"/>
      <c r="U240" s="17">
        <v>135000</v>
      </c>
      <c r="V240" s="17"/>
      <c r="W240" s="17"/>
      <c r="X240" s="17"/>
      <c r="Y240" s="17">
        <v>150000</v>
      </c>
      <c r="Z240" s="17"/>
      <c r="AA240" s="17"/>
      <c r="AB240" s="17"/>
      <c r="AC240" s="17">
        <v>150000</v>
      </c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  <c r="AX240" s="17"/>
      <c r="AY240" s="17"/>
      <c r="AZ240" s="17"/>
      <c r="BA240" s="56">
        <v>0</v>
      </c>
    </row>
    <row r="241" spans="1:53" x14ac:dyDescent="0.25">
      <c r="A241" s="23" t="s">
        <v>189</v>
      </c>
      <c r="B241" s="10" t="s">
        <v>63</v>
      </c>
      <c r="C241" s="9" t="s">
        <v>268</v>
      </c>
      <c r="D241" s="49">
        <v>25000</v>
      </c>
      <c r="E241" s="55">
        <f t="shared" si="4"/>
        <v>-25000</v>
      </c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  <c r="AX241" s="17"/>
      <c r="AY241" s="17"/>
      <c r="AZ241" s="17"/>
      <c r="BA241" s="56">
        <v>0</v>
      </c>
    </row>
    <row r="242" spans="1:53" x14ac:dyDescent="0.25">
      <c r="A242" s="23" t="s">
        <v>190</v>
      </c>
      <c r="B242" s="10" t="s">
        <v>64</v>
      </c>
      <c r="C242" s="9" t="s">
        <v>268</v>
      </c>
      <c r="D242" s="49">
        <v>25000</v>
      </c>
      <c r="E242" s="55">
        <f t="shared" si="4"/>
        <v>-25000</v>
      </c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>
        <v>27000</v>
      </c>
      <c r="V242" s="17"/>
      <c r="W242" s="17"/>
      <c r="X242" s="17"/>
      <c r="Y242" s="17">
        <v>27000</v>
      </c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  <c r="AX242" s="17"/>
      <c r="AY242" s="17"/>
      <c r="AZ242" s="17"/>
      <c r="BA242" s="56">
        <v>0</v>
      </c>
    </row>
    <row r="243" spans="1:53" x14ac:dyDescent="0.25">
      <c r="A243" s="23" t="s">
        <v>391</v>
      </c>
      <c r="B243" s="10" t="s">
        <v>486</v>
      </c>
      <c r="C243" s="9" t="s">
        <v>268</v>
      </c>
      <c r="D243" s="17">
        <v>285000</v>
      </c>
      <c r="E243" s="55">
        <f t="shared" si="4"/>
        <v>-285000</v>
      </c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  <c r="AX243" s="17"/>
      <c r="AY243" s="17"/>
      <c r="AZ243" s="17"/>
      <c r="BA243" s="56">
        <v>0</v>
      </c>
    </row>
    <row r="244" spans="1:53" ht="25.5" x14ac:dyDescent="0.25">
      <c r="A244" s="23" t="s">
        <v>487</v>
      </c>
      <c r="B244" s="10" t="s">
        <v>395</v>
      </c>
      <c r="C244" s="9" t="s">
        <v>268</v>
      </c>
      <c r="D244" s="49">
        <v>45000</v>
      </c>
      <c r="E244" s="55">
        <f t="shared" si="4"/>
        <v>-45000</v>
      </c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>
        <v>700</v>
      </c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  <c r="AX244" s="17"/>
      <c r="AY244" s="17"/>
      <c r="AZ244" s="17"/>
      <c r="BA244" s="56">
        <v>0</v>
      </c>
    </row>
    <row r="245" spans="1:53" x14ac:dyDescent="0.25">
      <c r="A245" s="23" t="s">
        <v>741</v>
      </c>
      <c r="B245" s="10" t="s">
        <v>742</v>
      </c>
      <c r="C245" s="9"/>
      <c r="D245" s="49"/>
      <c r="E245" s="55">
        <f t="shared" si="4"/>
        <v>0</v>
      </c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>
        <v>25000</v>
      </c>
      <c r="V245" s="17"/>
      <c r="W245" s="17"/>
      <c r="X245" s="17"/>
      <c r="Y245" s="17">
        <v>25000</v>
      </c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  <c r="AX245" s="17"/>
      <c r="AY245" s="17"/>
      <c r="AZ245" s="17"/>
      <c r="BA245" s="56">
        <v>0</v>
      </c>
    </row>
    <row r="246" spans="1:53" x14ac:dyDescent="0.25">
      <c r="A246" s="23"/>
      <c r="B246" s="10"/>
      <c r="C246" s="9"/>
      <c r="D246" s="49"/>
      <c r="E246" s="55">
        <f t="shared" si="4"/>
        <v>0</v>
      </c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  <c r="AX246" s="17"/>
      <c r="AY246" s="17"/>
      <c r="AZ246" s="17"/>
      <c r="BA246" s="56">
        <v>0</v>
      </c>
    </row>
    <row r="247" spans="1:53" x14ac:dyDescent="0.25">
      <c r="A247" s="23"/>
      <c r="B247" s="10"/>
      <c r="C247" s="9"/>
      <c r="D247" s="49"/>
      <c r="E247" s="55">
        <f t="shared" si="4"/>
        <v>0</v>
      </c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  <c r="AX247" s="17"/>
      <c r="AY247" s="17"/>
      <c r="AZ247" s="17"/>
      <c r="BA247" s="56">
        <v>0</v>
      </c>
    </row>
    <row r="248" spans="1:53" x14ac:dyDescent="0.25">
      <c r="A248" s="23"/>
      <c r="B248" s="10"/>
      <c r="C248" s="9"/>
      <c r="D248" s="49"/>
      <c r="E248" s="55">
        <f t="shared" si="4"/>
        <v>0</v>
      </c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  <c r="AX248" s="17"/>
      <c r="AY248" s="17"/>
      <c r="AZ248" s="17"/>
      <c r="BA248" s="56">
        <v>0</v>
      </c>
    </row>
    <row r="249" spans="1:53" ht="25.5" x14ac:dyDescent="0.25">
      <c r="A249" s="25">
        <v>9</v>
      </c>
      <c r="B249" s="22" t="s">
        <v>65</v>
      </c>
      <c r="C249" s="22"/>
      <c r="D249" s="22"/>
      <c r="E249" s="55">
        <f t="shared" si="4"/>
        <v>0</v>
      </c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56">
        <v>0</v>
      </c>
    </row>
    <row r="250" spans="1:53" x14ac:dyDescent="0.25">
      <c r="A250" s="23" t="s">
        <v>112</v>
      </c>
      <c r="B250" s="10" t="s">
        <v>66</v>
      </c>
      <c r="C250" s="9" t="s">
        <v>268</v>
      </c>
      <c r="D250" s="49">
        <v>290</v>
      </c>
      <c r="E250" s="55">
        <f t="shared" si="4"/>
        <v>-290</v>
      </c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  <c r="AX250" s="17"/>
      <c r="AY250" s="17"/>
      <c r="AZ250" s="17"/>
      <c r="BA250" s="56">
        <v>0</v>
      </c>
    </row>
    <row r="251" spans="1:53" x14ac:dyDescent="0.25">
      <c r="A251" s="23" t="s">
        <v>113</v>
      </c>
      <c r="B251" s="10" t="s">
        <v>67</v>
      </c>
      <c r="C251" s="9" t="s">
        <v>268</v>
      </c>
      <c r="D251" s="49">
        <v>290</v>
      </c>
      <c r="E251" s="55">
        <f t="shared" si="4"/>
        <v>-290</v>
      </c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  <c r="AX251" s="17"/>
      <c r="AY251" s="17"/>
      <c r="AZ251" s="17"/>
      <c r="BA251" s="56">
        <v>0</v>
      </c>
    </row>
    <row r="252" spans="1:53" x14ac:dyDescent="0.25">
      <c r="A252" s="23" t="s">
        <v>114</v>
      </c>
      <c r="B252" s="10" t="s">
        <v>68</v>
      </c>
      <c r="C252" s="9" t="s">
        <v>268</v>
      </c>
      <c r="D252" s="49">
        <v>350</v>
      </c>
      <c r="E252" s="55">
        <f t="shared" si="4"/>
        <v>-350</v>
      </c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  <c r="AX252" s="17"/>
      <c r="AY252" s="17"/>
      <c r="AZ252" s="17"/>
      <c r="BA252" s="56">
        <v>0</v>
      </c>
    </row>
    <row r="253" spans="1:53" x14ac:dyDescent="0.25">
      <c r="A253" s="23" t="s">
        <v>115</v>
      </c>
      <c r="B253" s="10" t="s">
        <v>69</v>
      </c>
      <c r="C253" s="9" t="s">
        <v>268</v>
      </c>
      <c r="D253" s="49">
        <v>505</v>
      </c>
      <c r="E253" s="55">
        <f t="shared" si="4"/>
        <v>-505</v>
      </c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  <c r="AX253" s="17"/>
      <c r="AY253" s="17"/>
      <c r="AZ253" s="17"/>
      <c r="BA253" s="56">
        <v>0</v>
      </c>
    </row>
    <row r="254" spans="1:53" x14ac:dyDescent="0.25">
      <c r="A254" s="23" t="s">
        <v>116</v>
      </c>
      <c r="B254" s="10" t="s">
        <v>70</v>
      </c>
      <c r="C254" s="9" t="s">
        <v>268</v>
      </c>
      <c r="D254" s="49">
        <v>835</v>
      </c>
      <c r="E254" s="55">
        <f t="shared" si="4"/>
        <v>-835</v>
      </c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  <c r="AX254" s="17"/>
      <c r="AY254" s="17"/>
      <c r="AZ254" s="17"/>
      <c r="BA254" s="56">
        <v>0</v>
      </c>
    </row>
    <row r="255" spans="1:53" x14ac:dyDescent="0.25">
      <c r="A255" s="23" t="s">
        <v>10</v>
      </c>
      <c r="B255" s="10" t="s">
        <v>71</v>
      </c>
      <c r="C255" s="9" t="s">
        <v>268</v>
      </c>
      <c r="D255" s="49">
        <v>1025</v>
      </c>
      <c r="E255" s="55">
        <f t="shared" si="4"/>
        <v>-1025</v>
      </c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  <c r="AX255" s="17"/>
      <c r="AY255" s="17"/>
      <c r="AZ255" s="17"/>
      <c r="BA255" s="56">
        <v>0</v>
      </c>
    </row>
    <row r="256" spans="1:53" x14ac:dyDescent="0.25">
      <c r="A256" s="23" t="s">
        <v>117</v>
      </c>
      <c r="B256" s="10" t="s">
        <v>72</v>
      </c>
      <c r="C256" s="9" t="s">
        <v>268</v>
      </c>
      <c r="D256" s="49">
        <v>1250</v>
      </c>
      <c r="E256" s="55">
        <f t="shared" si="4"/>
        <v>-1250</v>
      </c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  <c r="AX256" s="17"/>
      <c r="AY256" s="17"/>
      <c r="AZ256" s="17"/>
      <c r="BA256" s="56">
        <v>0</v>
      </c>
    </row>
    <row r="257" spans="1:53" x14ac:dyDescent="0.25">
      <c r="A257" s="23" t="s">
        <v>118</v>
      </c>
      <c r="B257" s="10" t="s">
        <v>73</v>
      </c>
      <c r="C257" s="9" t="s">
        <v>268</v>
      </c>
      <c r="D257" s="49">
        <v>1435</v>
      </c>
      <c r="E257" s="55">
        <f t="shared" si="4"/>
        <v>-1435</v>
      </c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  <c r="AX257" s="17"/>
      <c r="AY257" s="17"/>
      <c r="AZ257" s="17"/>
      <c r="BA257" s="56">
        <v>0</v>
      </c>
    </row>
    <row r="258" spans="1:53" x14ac:dyDescent="0.25">
      <c r="A258" s="23"/>
      <c r="B258" s="10"/>
      <c r="C258" s="9"/>
      <c r="D258" s="49"/>
      <c r="E258" s="55">
        <f t="shared" si="4"/>
        <v>0</v>
      </c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  <c r="AX258" s="17"/>
      <c r="AY258" s="17"/>
      <c r="AZ258" s="17"/>
      <c r="BA258" s="56">
        <v>0</v>
      </c>
    </row>
    <row r="259" spans="1:53" ht="25.5" x14ac:dyDescent="0.25">
      <c r="A259" s="25">
        <v>10</v>
      </c>
      <c r="B259" s="22" t="s">
        <v>410</v>
      </c>
      <c r="C259" s="22"/>
      <c r="D259" s="22"/>
      <c r="E259" s="55">
        <f t="shared" si="4"/>
        <v>0</v>
      </c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56">
        <v>0</v>
      </c>
    </row>
    <row r="260" spans="1:53" x14ac:dyDescent="0.25">
      <c r="A260" s="23" t="s">
        <v>191</v>
      </c>
      <c r="B260" s="10" t="s">
        <v>74</v>
      </c>
      <c r="C260" s="9" t="s">
        <v>268</v>
      </c>
      <c r="D260" s="49">
        <v>1250</v>
      </c>
      <c r="E260" s="55">
        <f t="shared" si="4"/>
        <v>-1250</v>
      </c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  <c r="AX260" s="17"/>
      <c r="AY260" s="17"/>
      <c r="AZ260" s="17"/>
      <c r="BA260" s="56">
        <v>0</v>
      </c>
    </row>
    <row r="261" spans="1:53" x14ac:dyDescent="0.25">
      <c r="A261" s="23" t="s">
        <v>192</v>
      </c>
      <c r="B261" s="10" t="s">
        <v>75</v>
      </c>
      <c r="C261" s="9" t="s">
        <v>268</v>
      </c>
      <c r="D261" s="49">
        <v>1320</v>
      </c>
      <c r="E261" s="55">
        <f t="shared" si="4"/>
        <v>-1320</v>
      </c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  <c r="AX261" s="17"/>
      <c r="AY261" s="17"/>
      <c r="AZ261" s="17"/>
      <c r="BA261" s="56">
        <v>0</v>
      </c>
    </row>
    <row r="262" spans="1:53" x14ac:dyDescent="0.25">
      <c r="A262" s="23" t="s">
        <v>193</v>
      </c>
      <c r="B262" s="10" t="s">
        <v>76</v>
      </c>
      <c r="C262" s="9" t="s">
        <v>268</v>
      </c>
      <c r="D262" s="49">
        <v>1350</v>
      </c>
      <c r="E262" s="55">
        <f t="shared" si="4"/>
        <v>-1350</v>
      </c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  <c r="AX262" s="17"/>
      <c r="AY262" s="17"/>
      <c r="AZ262" s="17"/>
      <c r="BA262" s="56">
        <v>0</v>
      </c>
    </row>
    <row r="263" spans="1:53" x14ac:dyDescent="0.25">
      <c r="A263" s="23" t="s">
        <v>194</v>
      </c>
      <c r="B263" s="10" t="s">
        <v>77</v>
      </c>
      <c r="C263" s="9" t="s">
        <v>268</v>
      </c>
      <c r="D263" s="49">
        <v>1550</v>
      </c>
      <c r="E263" s="55">
        <f t="shared" ref="E263:E326" si="5">+(D263*$E$5)-D263</f>
        <v>-1550</v>
      </c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  <c r="AX263" s="17"/>
      <c r="AY263" s="17"/>
      <c r="AZ263" s="17"/>
      <c r="BA263" s="56">
        <v>0</v>
      </c>
    </row>
    <row r="264" spans="1:53" x14ac:dyDescent="0.25">
      <c r="A264" s="23" t="s">
        <v>195</v>
      </c>
      <c r="B264" s="10" t="s">
        <v>78</v>
      </c>
      <c r="C264" s="9" t="s">
        <v>268</v>
      </c>
      <c r="D264" s="49">
        <v>1730</v>
      </c>
      <c r="E264" s="55">
        <f t="shared" si="5"/>
        <v>-1730</v>
      </c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  <c r="AX264" s="17"/>
      <c r="AY264" s="17"/>
      <c r="AZ264" s="17"/>
      <c r="BA264" s="56">
        <v>0</v>
      </c>
    </row>
    <row r="265" spans="1:53" x14ac:dyDescent="0.25">
      <c r="A265" s="23" t="s">
        <v>196</v>
      </c>
      <c r="B265" s="10" t="s">
        <v>79</v>
      </c>
      <c r="C265" s="9" t="s">
        <v>268</v>
      </c>
      <c r="D265" s="49">
        <v>1960</v>
      </c>
      <c r="E265" s="55">
        <f t="shared" si="5"/>
        <v>-1960</v>
      </c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  <c r="AX265" s="17"/>
      <c r="AY265" s="17"/>
      <c r="AZ265" s="17"/>
      <c r="BA265" s="56">
        <v>0</v>
      </c>
    </row>
    <row r="266" spans="1:53" x14ac:dyDescent="0.25">
      <c r="A266" s="23" t="s">
        <v>197</v>
      </c>
      <c r="B266" s="10" t="s">
        <v>80</v>
      </c>
      <c r="C266" s="9" t="s">
        <v>268</v>
      </c>
      <c r="D266" s="49">
        <v>2020</v>
      </c>
      <c r="E266" s="55">
        <f t="shared" si="5"/>
        <v>-2020</v>
      </c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  <c r="AX266" s="17"/>
      <c r="AY266" s="17"/>
      <c r="AZ266" s="17"/>
      <c r="BA266" s="56">
        <v>0</v>
      </c>
    </row>
    <row r="267" spans="1:53" x14ac:dyDescent="0.25">
      <c r="A267" s="23" t="s">
        <v>198</v>
      </c>
      <c r="B267" s="10" t="s">
        <v>81</v>
      </c>
      <c r="C267" s="9" t="s">
        <v>268</v>
      </c>
      <c r="D267" s="49">
        <v>2320</v>
      </c>
      <c r="E267" s="55">
        <f t="shared" si="5"/>
        <v>-2320</v>
      </c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  <c r="AX267" s="17"/>
      <c r="AY267" s="17"/>
      <c r="AZ267" s="17"/>
      <c r="BA267" s="56">
        <v>0</v>
      </c>
    </row>
    <row r="268" spans="1:53" x14ac:dyDescent="0.25">
      <c r="A268" s="23" t="s">
        <v>199</v>
      </c>
      <c r="B268" s="10" t="s">
        <v>82</v>
      </c>
      <c r="C268" s="9" t="s">
        <v>268</v>
      </c>
      <c r="D268" s="49">
        <v>2450</v>
      </c>
      <c r="E268" s="55">
        <f t="shared" si="5"/>
        <v>-2450</v>
      </c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  <c r="AX268" s="17"/>
      <c r="AY268" s="17"/>
      <c r="AZ268" s="17"/>
      <c r="BA268" s="56">
        <v>0</v>
      </c>
    </row>
    <row r="269" spans="1:53" x14ac:dyDescent="0.25">
      <c r="A269" s="23" t="s">
        <v>200</v>
      </c>
      <c r="B269" s="10" t="s">
        <v>83</v>
      </c>
      <c r="C269" s="9" t="s">
        <v>268</v>
      </c>
      <c r="D269" s="49">
        <v>2840</v>
      </c>
      <c r="E269" s="55">
        <f t="shared" si="5"/>
        <v>-2840</v>
      </c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  <c r="AX269" s="17"/>
      <c r="AY269" s="17"/>
      <c r="AZ269" s="17"/>
      <c r="BA269" s="56">
        <v>0</v>
      </c>
    </row>
    <row r="270" spans="1:53" x14ac:dyDescent="0.25">
      <c r="A270" s="23" t="s">
        <v>201</v>
      </c>
      <c r="B270" s="10" t="s">
        <v>84</v>
      </c>
      <c r="C270" s="9" t="s">
        <v>268</v>
      </c>
      <c r="D270" s="49">
        <v>3540</v>
      </c>
      <c r="E270" s="55">
        <f t="shared" si="5"/>
        <v>-3540</v>
      </c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  <c r="AX270" s="17"/>
      <c r="AY270" s="17"/>
      <c r="AZ270" s="17"/>
      <c r="BA270" s="56">
        <v>0</v>
      </c>
    </row>
    <row r="271" spans="1:53" x14ac:dyDescent="0.25">
      <c r="A271" s="23" t="s">
        <v>202</v>
      </c>
      <c r="B271" s="10" t="s">
        <v>85</v>
      </c>
      <c r="C271" s="9" t="s">
        <v>268</v>
      </c>
      <c r="D271" s="49">
        <v>3850</v>
      </c>
      <c r="E271" s="55">
        <f t="shared" si="5"/>
        <v>-3850</v>
      </c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  <c r="AX271" s="17"/>
      <c r="AY271" s="17"/>
      <c r="AZ271" s="17"/>
      <c r="BA271" s="56">
        <v>0</v>
      </c>
    </row>
    <row r="272" spans="1:53" x14ac:dyDescent="0.25">
      <c r="A272" s="23"/>
      <c r="B272" s="10"/>
      <c r="C272" s="9"/>
      <c r="D272" s="49"/>
      <c r="E272" s="55">
        <f t="shared" si="5"/>
        <v>0</v>
      </c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  <c r="AX272" s="17"/>
      <c r="AY272" s="17"/>
      <c r="AZ272" s="17"/>
      <c r="BA272" s="56">
        <v>0</v>
      </c>
    </row>
    <row r="273" spans="1:53" x14ac:dyDescent="0.25">
      <c r="A273" s="25" t="s">
        <v>86</v>
      </c>
      <c r="B273" s="22" t="s">
        <v>87</v>
      </c>
      <c r="C273" s="22"/>
      <c r="D273" s="22"/>
      <c r="E273" s="55">
        <f t="shared" si="5"/>
        <v>0</v>
      </c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56">
        <v>0</v>
      </c>
    </row>
    <row r="274" spans="1:53" x14ac:dyDescent="0.25">
      <c r="A274" s="23" t="s">
        <v>203</v>
      </c>
      <c r="B274" s="10" t="s">
        <v>743</v>
      </c>
      <c r="C274" s="9" t="s">
        <v>268</v>
      </c>
      <c r="D274" s="49">
        <v>180000</v>
      </c>
      <c r="E274" s="55">
        <f t="shared" si="5"/>
        <v>-180000</v>
      </c>
      <c r="F274" s="17"/>
      <c r="G274" s="17"/>
      <c r="H274" s="17"/>
      <c r="I274" s="17"/>
      <c r="J274" s="17"/>
      <c r="K274" s="17"/>
      <c r="L274" s="17"/>
      <c r="M274" s="17">
        <v>205000</v>
      </c>
      <c r="N274" s="17">
        <v>205000</v>
      </c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  <c r="AX274" s="17"/>
      <c r="AY274" s="17"/>
      <c r="AZ274" s="17"/>
      <c r="BA274" s="56">
        <v>0</v>
      </c>
    </row>
    <row r="275" spans="1:53" x14ac:dyDescent="0.25">
      <c r="A275" s="23" t="s">
        <v>204</v>
      </c>
      <c r="B275" s="10" t="s">
        <v>1394</v>
      </c>
      <c r="C275" s="49">
        <v>260000</v>
      </c>
      <c r="D275" s="49">
        <v>260000</v>
      </c>
      <c r="E275" s="55">
        <f t="shared" si="5"/>
        <v>-260000</v>
      </c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>
        <v>340000</v>
      </c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  <c r="AX275" s="17"/>
      <c r="AY275" s="17">
        <v>220000</v>
      </c>
      <c r="AZ275" s="17">
        <v>220000</v>
      </c>
      <c r="BA275" s="56">
        <v>0</v>
      </c>
    </row>
    <row r="276" spans="1:53" x14ac:dyDescent="0.25">
      <c r="A276" s="23" t="s">
        <v>205</v>
      </c>
      <c r="B276" s="10" t="s">
        <v>488</v>
      </c>
      <c r="C276" s="9" t="s">
        <v>268</v>
      </c>
      <c r="D276" s="49"/>
      <c r="E276" s="55">
        <f t="shared" si="5"/>
        <v>0</v>
      </c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  <c r="AX276" s="17"/>
      <c r="AY276" s="17"/>
      <c r="AZ276" s="17"/>
      <c r="BA276" s="56">
        <v>0</v>
      </c>
    </row>
    <row r="277" spans="1:53" x14ac:dyDescent="0.25">
      <c r="A277" s="23" t="s">
        <v>206</v>
      </c>
      <c r="B277" s="10" t="s">
        <v>488</v>
      </c>
      <c r="C277" s="9" t="s">
        <v>268</v>
      </c>
      <c r="D277" s="49">
        <v>275000</v>
      </c>
      <c r="E277" s="55">
        <f t="shared" si="5"/>
        <v>-275000</v>
      </c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  <c r="AX277" s="17"/>
      <c r="AY277" s="17"/>
      <c r="AZ277" s="17"/>
      <c r="BA277" s="56">
        <v>0</v>
      </c>
    </row>
    <row r="278" spans="1:53" x14ac:dyDescent="0.25">
      <c r="A278" s="23" t="s">
        <v>207</v>
      </c>
      <c r="B278" s="10" t="s">
        <v>488</v>
      </c>
      <c r="C278" s="9" t="s">
        <v>268</v>
      </c>
      <c r="D278" s="49">
        <v>210000</v>
      </c>
      <c r="E278" s="55">
        <f t="shared" si="5"/>
        <v>-210000</v>
      </c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  <c r="AX278" s="17"/>
      <c r="AY278" s="17"/>
      <c r="AZ278" s="17"/>
      <c r="BA278" s="56">
        <v>0</v>
      </c>
    </row>
    <row r="279" spans="1:53" x14ac:dyDescent="0.25">
      <c r="A279" s="23" t="s">
        <v>208</v>
      </c>
      <c r="B279" s="10" t="s">
        <v>488</v>
      </c>
      <c r="C279" s="9" t="s">
        <v>268</v>
      </c>
      <c r="D279" s="49">
        <v>290000</v>
      </c>
      <c r="E279" s="55">
        <f t="shared" si="5"/>
        <v>-290000</v>
      </c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  <c r="AX279" s="17"/>
      <c r="AY279" s="17"/>
      <c r="AZ279" s="17"/>
      <c r="BA279" s="56">
        <v>0</v>
      </c>
    </row>
    <row r="280" spans="1:53" x14ac:dyDescent="0.25">
      <c r="A280" s="23" t="s">
        <v>209</v>
      </c>
      <c r="B280" s="10" t="s">
        <v>489</v>
      </c>
      <c r="C280" s="9" t="s">
        <v>268</v>
      </c>
      <c r="D280" s="49">
        <v>155000</v>
      </c>
      <c r="E280" s="55">
        <f t="shared" si="5"/>
        <v>-155000</v>
      </c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  <c r="AX280" s="17"/>
      <c r="AY280" s="17"/>
      <c r="AZ280" s="17"/>
      <c r="BA280" s="56">
        <v>0</v>
      </c>
    </row>
    <row r="281" spans="1:53" x14ac:dyDescent="0.25">
      <c r="A281" s="23" t="s">
        <v>210</v>
      </c>
      <c r="B281" s="10" t="s">
        <v>489</v>
      </c>
      <c r="C281" s="9" t="s">
        <v>268</v>
      </c>
      <c r="D281" s="49">
        <v>255000</v>
      </c>
      <c r="E281" s="55">
        <f t="shared" si="5"/>
        <v>-255000</v>
      </c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  <c r="AX281" s="17"/>
      <c r="AY281" s="17"/>
      <c r="AZ281" s="17"/>
      <c r="BA281" s="56">
        <v>0</v>
      </c>
    </row>
    <row r="282" spans="1:53" x14ac:dyDescent="0.25">
      <c r="A282" s="23" t="s">
        <v>258</v>
      </c>
      <c r="B282" s="10" t="s">
        <v>489</v>
      </c>
      <c r="C282" s="9" t="s">
        <v>268</v>
      </c>
      <c r="D282" s="49">
        <v>305000</v>
      </c>
      <c r="E282" s="55">
        <f t="shared" si="5"/>
        <v>-305000</v>
      </c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  <c r="AX282" s="17"/>
      <c r="AY282" s="17"/>
      <c r="AZ282" s="17"/>
      <c r="BA282" s="56">
        <v>0</v>
      </c>
    </row>
    <row r="283" spans="1:53" x14ac:dyDescent="0.25">
      <c r="A283" s="23" t="s">
        <v>1432</v>
      </c>
      <c r="B283" s="10" t="s">
        <v>1431</v>
      </c>
      <c r="C283" s="9"/>
      <c r="D283" s="49"/>
      <c r="E283" s="55">
        <f t="shared" si="5"/>
        <v>0</v>
      </c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>
        <v>170000</v>
      </c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  <c r="AX283" s="17"/>
      <c r="AY283" s="17"/>
      <c r="AZ283" s="17"/>
      <c r="BA283" s="56">
        <v>0</v>
      </c>
    </row>
    <row r="284" spans="1:53" x14ac:dyDescent="0.25">
      <c r="A284" s="23"/>
      <c r="B284" s="10"/>
      <c r="C284" s="9"/>
      <c r="D284" s="49"/>
      <c r="E284" s="55">
        <f t="shared" si="5"/>
        <v>0</v>
      </c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  <c r="AX284" s="17"/>
      <c r="AY284" s="17"/>
      <c r="AZ284" s="17"/>
      <c r="BA284" s="56">
        <v>0</v>
      </c>
    </row>
    <row r="285" spans="1:53" x14ac:dyDescent="0.25">
      <c r="A285" s="23"/>
      <c r="B285" s="10"/>
      <c r="C285" s="9"/>
      <c r="D285" s="49"/>
      <c r="E285" s="55">
        <f t="shared" si="5"/>
        <v>0</v>
      </c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  <c r="AX285" s="17"/>
      <c r="AY285" s="17"/>
      <c r="AZ285" s="17"/>
      <c r="BA285" s="56">
        <v>0</v>
      </c>
    </row>
    <row r="286" spans="1:53" x14ac:dyDescent="0.25">
      <c r="A286" s="23"/>
      <c r="B286" s="10"/>
      <c r="C286" s="9"/>
      <c r="D286" s="49"/>
      <c r="E286" s="55">
        <f t="shared" si="5"/>
        <v>0</v>
      </c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  <c r="AX286" s="17"/>
      <c r="AY286" s="17"/>
      <c r="AZ286" s="17"/>
      <c r="BA286" s="56">
        <v>0</v>
      </c>
    </row>
    <row r="287" spans="1:53" x14ac:dyDescent="0.25">
      <c r="A287" s="23"/>
      <c r="B287" s="10"/>
      <c r="C287" s="9"/>
      <c r="D287" s="49"/>
      <c r="E287" s="55">
        <f t="shared" si="5"/>
        <v>0</v>
      </c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  <c r="AX287" s="17"/>
      <c r="AY287" s="17"/>
      <c r="AZ287" s="17"/>
      <c r="BA287" s="56">
        <v>0</v>
      </c>
    </row>
    <row r="288" spans="1:53" x14ac:dyDescent="0.25">
      <c r="A288" s="23"/>
      <c r="B288" s="10"/>
      <c r="C288" s="9"/>
      <c r="D288" s="49"/>
      <c r="E288" s="55">
        <f t="shared" si="5"/>
        <v>0</v>
      </c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  <c r="AX288" s="17"/>
      <c r="AY288" s="17"/>
      <c r="AZ288" s="17"/>
      <c r="BA288" s="56">
        <v>0</v>
      </c>
    </row>
    <row r="289" spans="1:58" x14ac:dyDescent="0.25">
      <c r="A289" s="23"/>
      <c r="B289" s="10"/>
      <c r="C289" s="9"/>
      <c r="D289" s="49"/>
      <c r="E289" s="55">
        <f t="shared" si="5"/>
        <v>0</v>
      </c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  <c r="AX289" s="17"/>
      <c r="AY289" s="17"/>
      <c r="AZ289" s="17"/>
      <c r="BA289" s="56">
        <v>0</v>
      </c>
    </row>
    <row r="290" spans="1:58" x14ac:dyDescent="0.25">
      <c r="A290" s="23" t="s">
        <v>241</v>
      </c>
      <c r="B290" s="10" t="s">
        <v>744</v>
      </c>
      <c r="C290" s="9" t="s">
        <v>268</v>
      </c>
      <c r="D290" s="49"/>
      <c r="E290" s="55">
        <f t="shared" si="5"/>
        <v>0</v>
      </c>
      <c r="F290" s="17">
        <v>10417</v>
      </c>
      <c r="G290" s="17">
        <v>10417</v>
      </c>
      <c r="H290" s="17">
        <v>10417</v>
      </c>
      <c r="I290" s="17">
        <v>10417</v>
      </c>
      <c r="J290" s="17">
        <v>10417</v>
      </c>
      <c r="K290" s="17">
        <v>10417</v>
      </c>
      <c r="L290" s="17">
        <v>10417</v>
      </c>
      <c r="M290" s="17">
        <v>10417</v>
      </c>
      <c r="N290" s="17">
        <v>10417</v>
      </c>
      <c r="O290" s="17">
        <v>10417</v>
      </c>
      <c r="P290" s="17">
        <v>10417</v>
      </c>
      <c r="Q290" s="17">
        <v>10417</v>
      </c>
      <c r="R290" s="17">
        <v>10417</v>
      </c>
      <c r="S290" s="17">
        <v>10417</v>
      </c>
      <c r="T290" s="17">
        <v>10417</v>
      </c>
      <c r="U290" s="17"/>
      <c r="V290" s="17">
        <v>10417</v>
      </c>
      <c r="W290" s="17">
        <v>10417</v>
      </c>
      <c r="X290" s="17">
        <v>10417</v>
      </c>
      <c r="Y290" s="17">
        <v>10417</v>
      </c>
      <c r="Z290" s="17">
        <v>10417</v>
      </c>
      <c r="AA290" s="17">
        <v>10417</v>
      </c>
      <c r="AB290" s="17">
        <v>10417</v>
      </c>
      <c r="AC290" s="17">
        <v>10417</v>
      </c>
      <c r="AD290" s="17">
        <v>10417</v>
      </c>
      <c r="AE290" s="17">
        <v>10417</v>
      </c>
      <c r="AF290" s="17">
        <v>10417</v>
      </c>
      <c r="AG290" s="17">
        <v>11146.19</v>
      </c>
      <c r="AH290" s="17">
        <v>10417</v>
      </c>
      <c r="AI290" s="17">
        <v>10417</v>
      </c>
      <c r="AJ290" s="17">
        <v>10417</v>
      </c>
      <c r="AK290" s="17">
        <v>10417</v>
      </c>
      <c r="AL290" s="17">
        <v>10417</v>
      </c>
      <c r="AM290" s="17">
        <v>10417</v>
      </c>
      <c r="AN290" s="17">
        <v>10417</v>
      </c>
      <c r="AO290" s="17">
        <v>10417</v>
      </c>
      <c r="AP290" s="17">
        <v>10417</v>
      </c>
      <c r="AQ290" s="17">
        <v>10417</v>
      </c>
      <c r="AR290" s="17">
        <v>10417</v>
      </c>
      <c r="AS290" s="17">
        <v>10417</v>
      </c>
      <c r="AT290" s="17">
        <v>10417</v>
      </c>
      <c r="AU290" s="17">
        <v>10417</v>
      </c>
      <c r="AV290" s="17">
        <v>10417</v>
      </c>
      <c r="AW290" s="17">
        <v>10417</v>
      </c>
      <c r="AX290" s="17">
        <v>10417</v>
      </c>
      <c r="AY290" s="17">
        <v>10417</v>
      </c>
      <c r="AZ290" s="17"/>
      <c r="BA290" s="17">
        <v>10417</v>
      </c>
      <c r="BB290" s="17">
        <v>10417</v>
      </c>
      <c r="BC290" s="17">
        <v>10417</v>
      </c>
      <c r="BD290" s="17">
        <v>10417</v>
      </c>
      <c r="BE290" s="17">
        <v>10417</v>
      </c>
      <c r="BF290" s="17">
        <v>10417</v>
      </c>
    </row>
    <row r="291" spans="1:58" x14ac:dyDescent="0.25">
      <c r="A291" s="23" t="s">
        <v>242</v>
      </c>
      <c r="B291" s="10" t="s">
        <v>243</v>
      </c>
      <c r="C291" s="9" t="s">
        <v>268</v>
      </c>
      <c r="D291" s="49"/>
      <c r="E291" s="55">
        <f t="shared" si="5"/>
        <v>0</v>
      </c>
      <c r="F291" s="17">
        <v>3645</v>
      </c>
      <c r="G291" s="17">
        <v>3645</v>
      </c>
      <c r="H291" s="17">
        <v>3645</v>
      </c>
      <c r="I291" s="17">
        <v>3645</v>
      </c>
      <c r="J291" s="17">
        <v>3645</v>
      </c>
      <c r="K291" s="17">
        <v>3645</v>
      </c>
      <c r="L291" s="17">
        <v>3645</v>
      </c>
      <c r="M291" s="17">
        <v>3645</v>
      </c>
      <c r="N291" s="17">
        <v>3645</v>
      </c>
      <c r="O291" s="17">
        <v>3645</v>
      </c>
      <c r="P291" s="17">
        <v>3645</v>
      </c>
      <c r="Q291" s="17">
        <v>3645</v>
      </c>
      <c r="R291" s="17">
        <v>3645</v>
      </c>
      <c r="S291" s="17">
        <v>3645</v>
      </c>
      <c r="T291" s="17">
        <v>3645</v>
      </c>
      <c r="U291" s="17">
        <v>3645</v>
      </c>
      <c r="V291" s="17">
        <v>3645</v>
      </c>
      <c r="W291" s="17">
        <v>3645</v>
      </c>
      <c r="X291" s="17">
        <v>3645</v>
      </c>
      <c r="Y291" s="17">
        <v>3645</v>
      </c>
      <c r="Z291" s="17">
        <v>3645</v>
      </c>
      <c r="AA291" s="17">
        <v>3645</v>
      </c>
      <c r="AB291" s="17">
        <v>3645</v>
      </c>
      <c r="AC291" s="17">
        <v>3645</v>
      </c>
      <c r="AD291" s="17">
        <v>3645</v>
      </c>
      <c r="AE291" s="17">
        <v>3645</v>
      </c>
      <c r="AF291" s="17">
        <v>3645</v>
      </c>
      <c r="AG291" s="17">
        <v>3900.15</v>
      </c>
      <c r="AH291" s="17">
        <v>3645</v>
      </c>
      <c r="AI291" s="17">
        <v>3645</v>
      </c>
      <c r="AJ291" s="17">
        <v>3645</v>
      </c>
      <c r="AK291" s="17">
        <v>3645</v>
      </c>
      <c r="AL291" s="17">
        <v>3645</v>
      </c>
      <c r="AM291" s="17">
        <v>3645</v>
      </c>
      <c r="AN291" s="17">
        <v>3645</v>
      </c>
      <c r="AO291" s="17">
        <v>3645</v>
      </c>
      <c r="AP291" s="17">
        <v>3645</v>
      </c>
      <c r="AQ291" s="17">
        <v>20833</v>
      </c>
      <c r="AR291" s="17">
        <v>20833</v>
      </c>
      <c r="AS291" s="17">
        <v>20833</v>
      </c>
      <c r="AT291" s="17">
        <v>20833</v>
      </c>
      <c r="AU291" s="17">
        <v>20833</v>
      </c>
      <c r="AV291" s="17">
        <v>20833</v>
      </c>
      <c r="AW291" s="17">
        <v>20833</v>
      </c>
      <c r="AX291" s="17">
        <v>20833</v>
      </c>
      <c r="AY291" s="17">
        <v>20833</v>
      </c>
      <c r="AZ291" s="17"/>
      <c r="BA291" s="17">
        <v>20833</v>
      </c>
      <c r="BB291" s="17">
        <v>20833</v>
      </c>
      <c r="BC291" s="17">
        <v>20833</v>
      </c>
      <c r="BD291" s="17">
        <v>20833</v>
      </c>
      <c r="BE291" s="17">
        <v>20833</v>
      </c>
      <c r="BF291" s="17">
        <v>20833</v>
      </c>
    </row>
    <row r="292" spans="1:58" x14ac:dyDescent="0.25">
      <c r="A292" s="23"/>
      <c r="B292" s="10"/>
      <c r="C292" s="9"/>
      <c r="D292" s="49"/>
      <c r="E292" s="55">
        <f t="shared" si="5"/>
        <v>0</v>
      </c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  <c r="AX292" s="17"/>
      <c r="AY292" s="17"/>
      <c r="AZ292" s="17"/>
      <c r="BA292" s="56">
        <v>0</v>
      </c>
    </row>
    <row r="293" spans="1:58" x14ac:dyDescent="0.25">
      <c r="A293" s="23"/>
      <c r="B293" s="10"/>
      <c r="C293" s="9"/>
      <c r="D293" s="49"/>
      <c r="E293" s="55">
        <f t="shared" si="5"/>
        <v>0</v>
      </c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  <c r="AX293" s="17"/>
      <c r="AY293" s="17"/>
      <c r="AZ293" s="17"/>
      <c r="BA293" s="56">
        <v>0</v>
      </c>
    </row>
    <row r="294" spans="1:58" x14ac:dyDescent="0.25">
      <c r="A294" s="23"/>
      <c r="B294" s="10"/>
      <c r="C294" s="9"/>
      <c r="D294" s="49"/>
      <c r="E294" s="55">
        <f t="shared" si="5"/>
        <v>0</v>
      </c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  <c r="AX294" s="17"/>
      <c r="AY294" s="17"/>
      <c r="AZ294" s="17"/>
      <c r="BA294" s="56">
        <v>0</v>
      </c>
    </row>
    <row r="295" spans="1:58" x14ac:dyDescent="0.25">
      <c r="A295" s="25" t="s">
        <v>94</v>
      </c>
      <c r="B295" s="22" t="s">
        <v>95</v>
      </c>
      <c r="C295" s="22"/>
      <c r="D295" s="22"/>
      <c r="E295" s="55">
        <f t="shared" si="5"/>
        <v>0</v>
      </c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56">
        <v>0</v>
      </c>
    </row>
    <row r="296" spans="1:58" x14ac:dyDescent="0.25">
      <c r="A296" s="23" t="s">
        <v>211</v>
      </c>
      <c r="B296" s="10" t="s">
        <v>745</v>
      </c>
      <c r="C296" s="9" t="s">
        <v>268</v>
      </c>
      <c r="D296" s="49">
        <f>+D274-50000</f>
        <v>130000</v>
      </c>
      <c r="E296" s="55">
        <f t="shared" si="5"/>
        <v>-130000</v>
      </c>
      <c r="F296" s="17">
        <v>83333</v>
      </c>
      <c r="G296" s="17">
        <v>83333</v>
      </c>
      <c r="H296" s="17">
        <v>83333</v>
      </c>
      <c r="I296" s="17">
        <v>83333</v>
      </c>
      <c r="J296" s="17">
        <v>83333</v>
      </c>
      <c r="K296" s="17">
        <v>83333</v>
      </c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>
        <v>83333</v>
      </c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  <c r="AX296" s="17"/>
      <c r="AY296" s="17"/>
      <c r="AZ296" s="17"/>
      <c r="BA296" s="56">
        <v>0</v>
      </c>
    </row>
    <row r="297" spans="1:58" ht="25.5" x14ac:dyDescent="0.25">
      <c r="A297" s="23" t="s">
        <v>212</v>
      </c>
      <c r="B297" s="10" t="s">
        <v>88</v>
      </c>
      <c r="C297" s="9" t="s">
        <v>268</v>
      </c>
      <c r="D297" s="49">
        <f>+D275-50000</f>
        <v>210000</v>
      </c>
      <c r="E297" s="55">
        <f t="shared" si="5"/>
        <v>-210000</v>
      </c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  <c r="AX297" s="17"/>
      <c r="AY297" s="17"/>
      <c r="AZ297" s="17"/>
      <c r="BA297" s="56">
        <v>0</v>
      </c>
    </row>
    <row r="298" spans="1:58" x14ac:dyDescent="0.25">
      <c r="A298" s="23" t="s">
        <v>213</v>
      </c>
      <c r="B298" s="10" t="s">
        <v>89</v>
      </c>
      <c r="C298" s="9" t="s">
        <v>268</v>
      </c>
      <c r="D298" s="49"/>
      <c r="E298" s="55">
        <f t="shared" si="5"/>
        <v>0</v>
      </c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  <c r="AX298" s="17"/>
      <c r="AY298" s="17"/>
      <c r="AZ298" s="17"/>
      <c r="BA298" s="56">
        <v>0</v>
      </c>
    </row>
    <row r="299" spans="1:58" x14ac:dyDescent="0.25">
      <c r="A299" s="23" t="s">
        <v>214</v>
      </c>
      <c r="B299" s="10" t="s">
        <v>90</v>
      </c>
      <c r="C299" s="9" t="s">
        <v>268</v>
      </c>
      <c r="D299" s="49">
        <f>+D277-50000</f>
        <v>225000</v>
      </c>
      <c r="E299" s="55">
        <f t="shared" si="5"/>
        <v>-225000</v>
      </c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  <c r="AX299" s="17"/>
      <c r="AY299" s="17"/>
      <c r="AZ299" s="17"/>
      <c r="BA299" s="56">
        <v>0</v>
      </c>
    </row>
    <row r="300" spans="1:58" x14ac:dyDescent="0.25">
      <c r="A300" s="23" t="s">
        <v>215</v>
      </c>
      <c r="B300" s="10" t="s">
        <v>91</v>
      </c>
      <c r="C300" s="9" t="s">
        <v>268</v>
      </c>
      <c r="D300" s="49">
        <f>+D278-50000</f>
        <v>160000</v>
      </c>
      <c r="E300" s="55">
        <f t="shared" si="5"/>
        <v>-160000</v>
      </c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  <c r="AX300" s="17"/>
      <c r="AY300" s="17"/>
      <c r="AZ300" s="17"/>
      <c r="BA300" s="56">
        <v>0</v>
      </c>
    </row>
    <row r="301" spans="1:58" x14ac:dyDescent="0.25">
      <c r="A301" s="23" t="s">
        <v>216</v>
      </c>
      <c r="B301" s="10" t="s">
        <v>92</v>
      </c>
      <c r="C301" s="9" t="s">
        <v>268</v>
      </c>
      <c r="D301" s="49">
        <f>+D279-50000</f>
        <v>240000</v>
      </c>
      <c r="E301" s="55">
        <f t="shared" si="5"/>
        <v>-240000</v>
      </c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  <c r="AX301" s="17"/>
      <c r="AY301" s="17"/>
      <c r="AZ301" s="17"/>
      <c r="BA301" s="56">
        <v>0</v>
      </c>
    </row>
    <row r="302" spans="1:58" ht="25.5" x14ac:dyDescent="0.25">
      <c r="A302" s="23" t="s">
        <v>217</v>
      </c>
      <c r="B302" s="10" t="s">
        <v>93</v>
      </c>
      <c r="C302" s="9" t="s">
        <v>268</v>
      </c>
      <c r="D302" s="49">
        <f>+D280-50000</f>
        <v>105000</v>
      </c>
      <c r="E302" s="55">
        <f t="shared" si="5"/>
        <v>-105000</v>
      </c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  <c r="AX302" s="17"/>
      <c r="AY302" s="17"/>
      <c r="AZ302" s="17"/>
      <c r="BA302" s="56">
        <v>0</v>
      </c>
    </row>
    <row r="303" spans="1:58" x14ac:dyDescent="0.25">
      <c r="A303" s="23"/>
      <c r="B303" s="10"/>
      <c r="C303" s="9"/>
      <c r="D303" s="49"/>
      <c r="E303" s="55">
        <f t="shared" si="5"/>
        <v>0</v>
      </c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  <c r="AX303" s="17"/>
      <c r="AY303" s="17"/>
      <c r="AZ303" s="17"/>
      <c r="BA303" s="56">
        <v>0</v>
      </c>
    </row>
    <row r="304" spans="1:58" x14ac:dyDescent="0.25">
      <c r="A304" s="23"/>
      <c r="B304" s="10"/>
      <c r="C304" s="9"/>
      <c r="D304" s="49"/>
      <c r="E304" s="55">
        <f t="shared" si="5"/>
        <v>0</v>
      </c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  <c r="AX304" s="17"/>
      <c r="AY304" s="17"/>
      <c r="AZ304" s="17"/>
      <c r="BA304" s="56">
        <v>0</v>
      </c>
    </row>
    <row r="305" spans="1:53" x14ac:dyDescent="0.25">
      <c r="A305" s="23"/>
      <c r="B305" s="10"/>
      <c r="C305" s="9"/>
      <c r="D305" s="49"/>
      <c r="E305" s="55">
        <f t="shared" si="5"/>
        <v>0</v>
      </c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  <c r="AX305" s="17"/>
      <c r="AY305" s="17"/>
      <c r="AZ305" s="17"/>
      <c r="BA305" s="56">
        <v>0</v>
      </c>
    </row>
    <row r="306" spans="1:53" x14ac:dyDescent="0.25">
      <c r="A306" s="23"/>
      <c r="B306" s="10"/>
      <c r="C306" s="9"/>
      <c r="D306" s="49"/>
      <c r="E306" s="55">
        <f t="shared" si="5"/>
        <v>0</v>
      </c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  <c r="AX306" s="17"/>
      <c r="AY306" s="17"/>
      <c r="AZ306" s="17"/>
      <c r="BA306" s="56">
        <v>0</v>
      </c>
    </row>
    <row r="307" spans="1:53" x14ac:dyDescent="0.25">
      <c r="A307" s="25" t="s">
        <v>259</v>
      </c>
      <c r="B307" s="22" t="s">
        <v>264</v>
      </c>
      <c r="C307" s="22"/>
      <c r="D307" s="22"/>
      <c r="E307" s="55">
        <f t="shared" si="5"/>
        <v>0</v>
      </c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56">
        <v>0</v>
      </c>
    </row>
    <row r="308" spans="1:53" x14ac:dyDescent="0.25">
      <c r="A308" s="23" t="s">
        <v>260</v>
      </c>
      <c r="B308" s="10" t="s">
        <v>266</v>
      </c>
      <c r="C308" s="9" t="s">
        <v>268</v>
      </c>
      <c r="D308" s="49">
        <v>2550000</v>
      </c>
      <c r="E308" s="55">
        <f t="shared" si="5"/>
        <v>-2550000</v>
      </c>
      <c r="F308" s="17"/>
      <c r="G308" s="17"/>
      <c r="H308" s="17"/>
      <c r="I308" s="17"/>
      <c r="J308" s="17">
        <v>2500000</v>
      </c>
      <c r="K308" s="17">
        <v>2500000</v>
      </c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  <c r="AX308" s="17"/>
      <c r="AY308" s="17"/>
      <c r="AZ308" s="17"/>
      <c r="BA308" s="56">
        <v>0</v>
      </c>
    </row>
    <row r="309" spans="1:53" ht="25.5" x14ac:dyDescent="0.25">
      <c r="A309" s="23" t="s">
        <v>261</v>
      </c>
      <c r="B309" s="10" t="s">
        <v>265</v>
      </c>
      <c r="C309" s="9" t="s">
        <v>268</v>
      </c>
      <c r="D309" s="49">
        <v>4500000</v>
      </c>
      <c r="E309" s="55">
        <f t="shared" si="5"/>
        <v>-4500000</v>
      </c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  <c r="AX309" s="17"/>
      <c r="AY309" s="17"/>
      <c r="AZ309" s="17"/>
      <c r="BA309" s="56">
        <v>0</v>
      </c>
    </row>
    <row r="310" spans="1:53" x14ac:dyDescent="0.25">
      <c r="A310" s="23" t="s">
        <v>262</v>
      </c>
      <c r="B310" s="10" t="s">
        <v>267</v>
      </c>
      <c r="C310" s="9" t="s">
        <v>268</v>
      </c>
      <c r="D310" s="49">
        <v>4850000</v>
      </c>
      <c r="E310" s="55">
        <f t="shared" si="5"/>
        <v>-4850000</v>
      </c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  <c r="AX310" s="17"/>
      <c r="AY310" s="17"/>
      <c r="AZ310" s="17"/>
      <c r="BA310" s="56">
        <v>0</v>
      </c>
    </row>
    <row r="311" spans="1:53" ht="25.5" x14ac:dyDescent="0.25">
      <c r="A311" s="23" t="s">
        <v>263</v>
      </c>
      <c r="B311" s="10" t="s">
        <v>746</v>
      </c>
      <c r="C311" s="9" t="s">
        <v>268</v>
      </c>
      <c r="D311" s="49">
        <v>83333</v>
      </c>
      <c r="E311" s="55">
        <f t="shared" si="5"/>
        <v>-83333</v>
      </c>
      <c r="F311" s="17"/>
      <c r="G311" s="17"/>
      <c r="H311" s="17"/>
      <c r="I311" s="17"/>
      <c r="J311" s="17">
        <v>83333</v>
      </c>
      <c r="K311" s="17">
        <v>83333</v>
      </c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  <c r="AX311" s="17"/>
      <c r="AY311" s="17"/>
      <c r="AZ311" s="17"/>
      <c r="BA311" s="56">
        <v>0</v>
      </c>
    </row>
    <row r="312" spans="1:53" x14ac:dyDescent="0.25">
      <c r="A312" s="23"/>
      <c r="B312" s="10"/>
      <c r="C312" s="9"/>
      <c r="D312" s="49"/>
      <c r="E312" s="55">
        <f t="shared" si="5"/>
        <v>0</v>
      </c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  <c r="AX312" s="17"/>
      <c r="AY312" s="17"/>
      <c r="AZ312" s="17"/>
      <c r="BA312" s="56">
        <v>0</v>
      </c>
    </row>
    <row r="313" spans="1:53" x14ac:dyDescent="0.25">
      <c r="A313" s="23"/>
      <c r="B313" s="10"/>
      <c r="C313" s="9"/>
      <c r="D313" s="49"/>
      <c r="E313" s="55">
        <f t="shared" si="5"/>
        <v>0</v>
      </c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  <c r="AX313" s="17"/>
      <c r="AY313" s="17"/>
      <c r="AZ313" s="17"/>
      <c r="BA313" s="56">
        <v>0</v>
      </c>
    </row>
    <row r="314" spans="1:53" x14ac:dyDescent="0.25">
      <c r="A314" s="23" t="s">
        <v>747</v>
      </c>
      <c r="B314" s="10" t="s">
        <v>748</v>
      </c>
      <c r="C314" s="9" t="s">
        <v>268</v>
      </c>
      <c r="D314" s="49"/>
      <c r="E314" s="55">
        <f t="shared" si="5"/>
        <v>0</v>
      </c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>
        <v>2500000</v>
      </c>
      <c r="X314" s="17">
        <v>5000000</v>
      </c>
      <c r="Y314" s="17">
        <v>4000000</v>
      </c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  <c r="AX314" s="17"/>
      <c r="AY314" s="17"/>
      <c r="AZ314" s="17"/>
      <c r="BA314" s="56">
        <v>0</v>
      </c>
    </row>
    <row r="315" spans="1:53" x14ac:dyDescent="0.25">
      <c r="A315" s="23" t="s">
        <v>749</v>
      </c>
      <c r="B315" s="10" t="s">
        <v>750</v>
      </c>
      <c r="C315" s="9" t="s">
        <v>268</v>
      </c>
      <c r="D315" s="49"/>
      <c r="E315" s="55">
        <f t="shared" si="5"/>
        <v>0</v>
      </c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>
        <v>83333</v>
      </c>
      <c r="X315" s="17">
        <v>166667</v>
      </c>
      <c r="Y315" s="17">
        <v>133350</v>
      </c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  <c r="AX315" s="17"/>
      <c r="AY315" s="17"/>
      <c r="AZ315" s="17"/>
      <c r="BA315" s="56">
        <v>0</v>
      </c>
    </row>
    <row r="316" spans="1:53" x14ac:dyDescent="0.25">
      <c r="A316" s="23" t="s">
        <v>751</v>
      </c>
      <c r="B316" s="10" t="s">
        <v>752</v>
      </c>
      <c r="C316" s="9" t="s">
        <v>268</v>
      </c>
      <c r="D316" s="49"/>
      <c r="E316" s="55">
        <f t="shared" si="5"/>
        <v>0</v>
      </c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>
        <v>1666666</v>
      </c>
      <c r="X316" s="17">
        <v>3333333</v>
      </c>
      <c r="Y316" s="17">
        <v>2000000</v>
      </c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  <c r="AX316" s="17"/>
      <c r="AY316" s="17"/>
      <c r="AZ316" s="17"/>
      <c r="BA316" s="56">
        <v>0</v>
      </c>
    </row>
    <row r="317" spans="1:53" x14ac:dyDescent="0.25">
      <c r="A317" s="23"/>
      <c r="B317" s="10"/>
      <c r="C317" s="9"/>
      <c r="D317" s="49"/>
      <c r="E317" s="55">
        <f t="shared" si="5"/>
        <v>0</v>
      </c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  <c r="AX317" s="17"/>
      <c r="AY317" s="17"/>
      <c r="AZ317" s="17"/>
      <c r="BA317" s="56">
        <v>0</v>
      </c>
    </row>
    <row r="318" spans="1:53" x14ac:dyDescent="0.25">
      <c r="A318" s="23"/>
      <c r="B318" s="10"/>
      <c r="C318" s="9"/>
      <c r="D318" s="49"/>
      <c r="E318" s="55">
        <f t="shared" si="5"/>
        <v>0</v>
      </c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  <c r="AX318" s="17"/>
      <c r="AY318" s="17"/>
      <c r="AZ318" s="17"/>
      <c r="BA318" s="56">
        <v>0</v>
      </c>
    </row>
    <row r="319" spans="1:53" x14ac:dyDescent="0.25">
      <c r="A319" s="23"/>
      <c r="B319" s="10"/>
      <c r="C319" s="9"/>
      <c r="D319" s="49"/>
      <c r="E319" s="55">
        <f t="shared" si="5"/>
        <v>0</v>
      </c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  <c r="AX319" s="17"/>
      <c r="AY319" s="17"/>
      <c r="AZ319" s="17"/>
      <c r="BA319" s="56">
        <v>0</v>
      </c>
    </row>
    <row r="320" spans="1:53" x14ac:dyDescent="0.25">
      <c r="A320" s="23"/>
      <c r="B320" s="10"/>
      <c r="C320" s="9"/>
      <c r="D320" s="49"/>
      <c r="E320" s="55">
        <f t="shared" si="5"/>
        <v>0</v>
      </c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  <c r="AX320" s="17"/>
      <c r="AY320" s="17"/>
      <c r="AZ320" s="17"/>
      <c r="BA320" s="56">
        <v>0</v>
      </c>
    </row>
    <row r="321" spans="1:53" x14ac:dyDescent="0.25">
      <c r="A321" s="25">
        <v>12</v>
      </c>
      <c r="B321" s="22" t="s">
        <v>96</v>
      </c>
      <c r="C321" s="22"/>
      <c r="D321" s="22"/>
      <c r="E321" s="55">
        <f t="shared" si="5"/>
        <v>0</v>
      </c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56">
        <v>0</v>
      </c>
    </row>
    <row r="322" spans="1:53" x14ac:dyDescent="0.25">
      <c r="A322" s="23" t="s">
        <v>122</v>
      </c>
      <c r="B322" s="10" t="s">
        <v>97</v>
      </c>
      <c r="C322" s="9" t="s">
        <v>356</v>
      </c>
      <c r="D322" s="49">
        <v>42000</v>
      </c>
      <c r="E322" s="55">
        <f t="shared" si="5"/>
        <v>-42000</v>
      </c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  <c r="AX322" s="17"/>
      <c r="AY322" s="17"/>
      <c r="AZ322" s="17"/>
      <c r="BA322" s="56">
        <v>0</v>
      </c>
    </row>
    <row r="323" spans="1:53" x14ac:dyDescent="0.25">
      <c r="A323" s="23" t="s">
        <v>218</v>
      </c>
      <c r="B323" s="10" t="s">
        <v>98</v>
      </c>
      <c r="C323" s="9" t="s">
        <v>357</v>
      </c>
      <c r="D323" s="49">
        <v>38000</v>
      </c>
      <c r="E323" s="55">
        <f t="shared" si="5"/>
        <v>-38000</v>
      </c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  <c r="AX323" s="17"/>
      <c r="AY323" s="17"/>
      <c r="AZ323" s="17"/>
      <c r="BA323" s="56">
        <v>0</v>
      </c>
    </row>
    <row r="324" spans="1:53" x14ac:dyDescent="0.25">
      <c r="A324" s="23" t="s">
        <v>219</v>
      </c>
      <c r="B324" s="10" t="s">
        <v>99</v>
      </c>
      <c r="C324" s="9" t="s">
        <v>358</v>
      </c>
      <c r="D324" s="49">
        <v>65000</v>
      </c>
      <c r="E324" s="55">
        <f t="shared" si="5"/>
        <v>-65000</v>
      </c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  <c r="AX324" s="17"/>
      <c r="AY324" s="17"/>
      <c r="AZ324" s="17"/>
      <c r="BA324" s="56">
        <v>0</v>
      </c>
    </row>
    <row r="325" spans="1:53" x14ac:dyDescent="0.25">
      <c r="A325" s="23" t="s">
        <v>220</v>
      </c>
      <c r="B325" s="10" t="s">
        <v>100</v>
      </c>
      <c r="C325" s="9" t="s">
        <v>364</v>
      </c>
      <c r="D325" s="50">
        <v>65000</v>
      </c>
      <c r="E325" s="55">
        <f t="shared" si="5"/>
        <v>-65000</v>
      </c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  <c r="AG325" s="18"/>
      <c r="AH325" s="18"/>
      <c r="AI325" s="18"/>
      <c r="AJ325" s="18"/>
      <c r="AK325" s="18"/>
      <c r="AL325" s="18"/>
      <c r="AM325" s="18"/>
      <c r="AN325" s="18"/>
      <c r="AO325" s="18"/>
      <c r="AP325" s="18"/>
      <c r="AQ325" s="18"/>
      <c r="AR325" s="18"/>
      <c r="AS325" s="18"/>
      <c r="AT325" s="18"/>
      <c r="AU325" s="18"/>
      <c r="AV325" s="18"/>
      <c r="AW325" s="18"/>
      <c r="AX325" s="18"/>
      <c r="AY325" s="18"/>
      <c r="AZ325" s="18"/>
      <c r="BA325" s="56">
        <v>0</v>
      </c>
    </row>
    <row r="326" spans="1:53" x14ac:dyDescent="0.25">
      <c r="A326" s="23" t="s">
        <v>221</v>
      </c>
      <c r="B326" s="10" t="s">
        <v>101</v>
      </c>
      <c r="C326" s="9"/>
      <c r="D326" s="49">
        <v>115000</v>
      </c>
      <c r="E326" s="55">
        <f t="shared" si="5"/>
        <v>-115000</v>
      </c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56">
        <v>0</v>
      </c>
    </row>
    <row r="327" spans="1:53" x14ac:dyDescent="0.25">
      <c r="A327" s="23" t="s">
        <v>222</v>
      </c>
      <c r="B327" s="10" t="s">
        <v>102</v>
      </c>
      <c r="C327" s="9"/>
      <c r="D327" s="49">
        <v>110000</v>
      </c>
      <c r="E327" s="55">
        <f t="shared" ref="E327:E390" si="6">+(D327*$E$5)-D327</f>
        <v>-110000</v>
      </c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56">
        <v>0</v>
      </c>
    </row>
    <row r="328" spans="1:53" x14ac:dyDescent="0.25">
      <c r="A328" s="23" t="s">
        <v>223</v>
      </c>
      <c r="B328" s="10" t="s">
        <v>103</v>
      </c>
      <c r="C328" s="9"/>
      <c r="D328" s="49">
        <v>115000</v>
      </c>
      <c r="E328" s="55">
        <f t="shared" si="6"/>
        <v>-115000</v>
      </c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56">
        <v>0</v>
      </c>
    </row>
    <row r="329" spans="1:53" x14ac:dyDescent="0.25">
      <c r="A329" s="23" t="s">
        <v>359</v>
      </c>
      <c r="B329" s="10" t="s">
        <v>360</v>
      </c>
      <c r="C329" s="9" t="s">
        <v>358</v>
      </c>
      <c r="D329" s="49">
        <v>38000</v>
      </c>
      <c r="E329" s="55">
        <f t="shared" si="6"/>
        <v>-38000</v>
      </c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56">
        <v>0</v>
      </c>
    </row>
    <row r="330" spans="1:53" x14ac:dyDescent="0.25">
      <c r="A330" s="23" t="s">
        <v>361</v>
      </c>
      <c r="B330" s="10" t="s">
        <v>362</v>
      </c>
      <c r="C330" s="9" t="s">
        <v>363</v>
      </c>
      <c r="D330" s="49"/>
      <c r="E330" s="55">
        <f t="shared" si="6"/>
        <v>0</v>
      </c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56">
        <v>0</v>
      </c>
    </row>
    <row r="331" spans="1:53" x14ac:dyDescent="0.25">
      <c r="A331" s="23" t="s">
        <v>490</v>
      </c>
      <c r="B331" s="10" t="s">
        <v>365</v>
      </c>
      <c r="C331" s="9" t="s">
        <v>366</v>
      </c>
      <c r="D331" s="49"/>
      <c r="E331" s="55">
        <f t="shared" si="6"/>
        <v>0</v>
      </c>
      <c r="F331" s="17"/>
      <c r="G331" s="17"/>
      <c r="H331" s="17"/>
      <c r="I331" s="17"/>
      <c r="J331" s="17"/>
      <c r="K331" s="17"/>
      <c r="L331" s="17"/>
      <c r="M331" s="17">
        <v>173400</v>
      </c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56">
        <v>0</v>
      </c>
    </row>
    <row r="332" spans="1:53" x14ac:dyDescent="0.25">
      <c r="A332" s="23"/>
      <c r="B332" s="10"/>
      <c r="C332" s="9"/>
      <c r="D332" s="49"/>
      <c r="E332" s="55">
        <f t="shared" si="6"/>
        <v>0</v>
      </c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56">
        <v>0</v>
      </c>
    </row>
    <row r="333" spans="1:53" x14ac:dyDescent="0.25">
      <c r="A333" s="23"/>
      <c r="B333" s="10"/>
      <c r="C333" s="9"/>
      <c r="D333" s="49"/>
      <c r="E333" s="55">
        <f t="shared" si="6"/>
        <v>0</v>
      </c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56">
        <v>0</v>
      </c>
    </row>
    <row r="334" spans="1:53" x14ac:dyDescent="0.25">
      <c r="A334" s="23"/>
      <c r="B334" s="10"/>
      <c r="C334" s="9"/>
      <c r="D334" s="49"/>
      <c r="E334" s="55">
        <f t="shared" si="6"/>
        <v>0</v>
      </c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  <c r="AX334" s="17"/>
      <c r="AY334" s="17"/>
      <c r="AZ334" s="17"/>
      <c r="BA334" s="56">
        <v>0</v>
      </c>
    </row>
    <row r="335" spans="1:53" x14ac:dyDescent="0.25">
      <c r="A335" s="23"/>
      <c r="B335" s="10"/>
      <c r="C335" s="9"/>
      <c r="D335" s="49"/>
      <c r="E335" s="55">
        <f t="shared" si="6"/>
        <v>0</v>
      </c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  <c r="AX335" s="17"/>
      <c r="AY335" s="17"/>
      <c r="AZ335" s="17"/>
      <c r="BA335" s="56">
        <v>0</v>
      </c>
    </row>
    <row r="336" spans="1:53" x14ac:dyDescent="0.25">
      <c r="A336" s="23"/>
      <c r="B336" s="10"/>
      <c r="C336" s="9"/>
      <c r="D336" s="49"/>
      <c r="E336" s="55">
        <f t="shared" si="6"/>
        <v>0</v>
      </c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  <c r="AX336" s="17"/>
      <c r="AY336" s="17"/>
      <c r="AZ336" s="17"/>
      <c r="BA336" s="56">
        <v>0</v>
      </c>
    </row>
    <row r="337" spans="1:53" x14ac:dyDescent="0.25">
      <c r="A337" s="25">
        <v>13</v>
      </c>
      <c r="B337" s="22" t="s">
        <v>104</v>
      </c>
      <c r="C337" s="22"/>
      <c r="D337" s="22"/>
      <c r="E337" s="55">
        <f t="shared" si="6"/>
        <v>0</v>
      </c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56">
        <v>0</v>
      </c>
    </row>
    <row r="338" spans="1:53" x14ac:dyDescent="0.25">
      <c r="A338" s="23" t="s">
        <v>11</v>
      </c>
      <c r="B338" s="10" t="s">
        <v>784</v>
      </c>
      <c r="C338" s="9" t="s">
        <v>349</v>
      </c>
      <c r="D338" s="49">
        <v>125500</v>
      </c>
      <c r="E338" s="55">
        <f t="shared" si="6"/>
        <v>-125500</v>
      </c>
      <c r="F338" s="17"/>
      <c r="G338" s="17"/>
      <c r="H338" s="17"/>
      <c r="I338" s="17"/>
      <c r="J338" s="17"/>
      <c r="K338" s="17"/>
      <c r="L338" s="60">
        <v>118500</v>
      </c>
      <c r="M338" s="17"/>
      <c r="N338" s="17"/>
      <c r="O338" s="17">
        <v>112500</v>
      </c>
      <c r="P338" s="17">
        <v>112500</v>
      </c>
      <c r="Q338" s="60">
        <v>118500</v>
      </c>
      <c r="R338" s="17">
        <v>118500</v>
      </c>
      <c r="S338" s="17"/>
      <c r="T338" s="17"/>
      <c r="U338" s="17"/>
      <c r="V338" s="17">
        <v>118500</v>
      </c>
      <c r="W338" s="17"/>
      <c r="X338" s="17"/>
      <c r="Y338" s="17"/>
      <c r="Z338" s="17"/>
      <c r="AA338" s="17"/>
      <c r="AB338" s="17"/>
      <c r="AC338" s="17"/>
      <c r="AD338" s="17"/>
      <c r="AE338" s="17"/>
      <c r="AF338" s="17">
        <v>118500</v>
      </c>
      <c r="AG338" s="17">
        <v>126000</v>
      </c>
      <c r="AH338" s="17"/>
      <c r="AI338" s="17"/>
      <c r="AJ338" s="49">
        <v>125500</v>
      </c>
      <c r="AK338" s="17">
        <v>118500</v>
      </c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  <c r="AX338" s="17"/>
      <c r="AY338" s="17"/>
      <c r="AZ338" s="17"/>
      <c r="BA338" s="56">
        <v>0</v>
      </c>
    </row>
    <row r="339" spans="1:53" x14ac:dyDescent="0.25">
      <c r="A339" s="23" t="s">
        <v>224</v>
      </c>
      <c r="B339" s="10" t="s">
        <v>785</v>
      </c>
      <c r="C339" s="9" t="s">
        <v>349</v>
      </c>
      <c r="D339" s="49">
        <v>140000</v>
      </c>
      <c r="E339" s="55">
        <f t="shared" si="6"/>
        <v>-140000</v>
      </c>
      <c r="F339" s="17"/>
      <c r="G339" s="17"/>
      <c r="H339" s="17"/>
      <c r="I339" s="17"/>
      <c r="J339" s="17"/>
      <c r="K339" s="17"/>
      <c r="L339" s="60">
        <v>137000</v>
      </c>
      <c r="M339" s="17"/>
      <c r="N339" s="17"/>
      <c r="O339" s="17"/>
      <c r="P339" s="17"/>
      <c r="Q339" s="60">
        <v>137000</v>
      </c>
      <c r="R339" s="17">
        <v>130000</v>
      </c>
      <c r="S339" s="17"/>
      <c r="T339" s="17"/>
      <c r="U339" s="17"/>
      <c r="V339" s="17">
        <v>130000</v>
      </c>
      <c r="W339" s="17"/>
      <c r="X339" s="17"/>
      <c r="Y339" s="17"/>
      <c r="Z339" s="17"/>
      <c r="AA339" s="17"/>
      <c r="AB339" s="17"/>
      <c r="AC339" s="17"/>
      <c r="AD339" s="17"/>
      <c r="AE339" s="17"/>
      <c r="AF339" s="17">
        <v>130000</v>
      </c>
      <c r="AG339" s="17">
        <v>139100</v>
      </c>
      <c r="AH339" s="17"/>
      <c r="AI339" s="17"/>
      <c r="AJ339" s="49">
        <v>140000</v>
      </c>
      <c r="AK339" s="17">
        <v>130000</v>
      </c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  <c r="AX339" s="17"/>
      <c r="AY339" s="17"/>
      <c r="AZ339" s="17"/>
      <c r="BA339" s="56">
        <v>0</v>
      </c>
    </row>
    <row r="340" spans="1:53" x14ac:dyDescent="0.25">
      <c r="A340" s="23" t="s">
        <v>225</v>
      </c>
      <c r="B340" s="10" t="s">
        <v>786</v>
      </c>
      <c r="C340" s="9" t="s">
        <v>349</v>
      </c>
      <c r="D340" s="49">
        <v>160000</v>
      </c>
      <c r="E340" s="55">
        <f t="shared" si="6"/>
        <v>-160000</v>
      </c>
      <c r="F340" s="17"/>
      <c r="G340" s="17"/>
      <c r="H340" s="17"/>
      <c r="I340" s="17"/>
      <c r="J340" s="17"/>
      <c r="K340" s="17"/>
      <c r="L340" s="60">
        <v>162000</v>
      </c>
      <c r="M340" s="17"/>
      <c r="N340" s="17"/>
      <c r="O340" s="17"/>
      <c r="P340" s="17"/>
      <c r="Q340" s="60">
        <v>162000</v>
      </c>
      <c r="R340" s="17">
        <v>150000</v>
      </c>
      <c r="S340" s="17"/>
      <c r="T340" s="17"/>
      <c r="U340" s="17"/>
      <c r="V340" s="17">
        <v>150000</v>
      </c>
      <c r="W340" s="17"/>
      <c r="X340" s="17"/>
      <c r="Y340" s="17"/>
      <c r="Z340" s="17"/>
      <c r="AA340" s="17"/>
      <c r="AB340" s="17"/>
      <c r="AC340" s="17"/>
      <c r="AD340" s="17"/>
      <c r="AE340" s="17"/>
      <c r="AF340" s="17">
        <v>150000</v>
      </c>
      <c r="AG340" s="17">
        <v>160500</v>
      </c>
      <c r="AH340" s="17"/>
      <c r="AI340" s="17"/>
      <c r="AJ340" s="49">
        <v>160000</v>
      </c>
      <c r="AK340" s="17">
        <v>150000</v>
      </c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  <c r="AX340" s="17"/>
      <c r="AY340" s="17"/>
      <c r="AZ340" s="17"/>
      <c r="BA340" s="56">
        <v>0</v>
      </c>
    </row>
    <row r="341" spans="1:53" x14ac:dyDescent="0.25">
      <c r="A341" s="23" t="s">
        <v>226</v>
      </c>
      <c r="B341" s="10" t="s">
        <v>787</v>
      </c>
      <c r="C341" s="9" t="s">
        <v>348</v>
      </c>
      <c r="D341" s="49">
        <v>120500</v>
      </c>
      <c r="E341" s="55">
        <f t="shared" si="6"/>
        <v>-120500</v>
      </c>
      <c r="F341" s="17"/>
      <c r="G341" s="17"/>
      <c r="H341" s="17"/>
      <c r="I341" s="17"/>
      <c r="J341" s="17"/>
      <c r="K341" s="17"/>
      <c r="L341" s="60">
        <v>105500</v>
      </c>
      <c r="M341" s="17"/>
      <c r="N341" s="17"/>
      <c r="O341" s="17">
        <v>70000</v>
      </c>
      <c r="P341" s="17">
        <v>70000</v>
      </c>
      <c r="Q341" s="60">
        <v>105500</v>
      </c>
      <c r="R341" s="17">
        <v>110500</v>
      </c>
      <c r="S341" s="17"/>
      <c r="T341" s="17"/>
      <c r="U341" s="17"/>
      <c r="V341" s="17">
        <v>110500</v>
      </c>
      <c r="W341" s="17"/>
      <c r="X341" s="17"/>
      <c r="Y341" s="17"/>
      <c r="Z341" s="17"/>
      <c r="AA341" s="17"/>
      <c r="AB341" s="17"/>
      <c r="AC341" s="17"/>
      <c r="AD341" s="17"/>
      <c r="AE341" s="17"/>
      <c r="AF341" s="17">
        <v>110500</v>
      </c>
      <c r="AG341" s="17">
        <v>118200</v>
      </c>
      <c r="AH341" s="17"/>
      <c r="AI341" s="17"/>
      <c r="AJ341" s="49">
        <v>120500</v>
      </c>
      <c r="AK341" s="17">
        <v>110500</v>
      </c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  <c r="AX341" s="17"/>
      <c r="AY341" s="17"/>
      <c r="AZ341" s="17"/>
      <c r="BA341" s="56">
        <v>0</v>
      </c>
    </row>
    <row r="342" spans="1:53" x14ac:dyDescent="0.25">
      <c r="A342" s="23" t="s">
        <v>227</v>
      </c>
      <c r="B342" s="10" t="s">
        <v>422</v>
      </c>
      <c r="C342" s="9" t="s">
        <v>348</v>
      </c>
      <c r="D342" s="49">
        <v>160000</v>
      </c>
      <c r="E342" s="55">
        <f t="shared" si="6"/>
        <v>-160000</v>
      </c>
      <c r="F342" s="17"/>
      <c r="G342" s="17"/>
      <c r="H342" s="17"/>
      <c r="I342" s="17"/>
      <c r="J342" s="17"/>
      <c r="K342" s="17"/>
      <c r="L342" s="60">
        <v>135500</v>
      </c>
      <c r="M342" s="17"/>
      <c r="N342" s="17"/>
      <c r="O342" s="17"/>
      <c r="P342" s="17"/>
      <c r="Q342" s="60">
        <v>135500</v>
      </c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49">
        <v>160000</v>
      </c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  <c r="AX342" s="17"/>
      <c r="AY342" s="17"/>
      <c r="AZ342" s="17"/>
      <c r="BA342" s="56">
        <v>0</v>
      </c>
    </row>
    <row r="343" spans="1:53" x14ac:dyDescent="0.25">
      <c r="A343" s="23" t="s">
        <v>421</v>
      </c>
      <c r="B343" s="10" t="s">
        <v>788</v>
      </c>
      <c r="C343" s="9" t="s">
        <v>348</v>
      </c>
      <c r="D343" s="49">
        <v>128000</v>
      </c>
      <c r="E343" s="55">
        <f t="shared" si="6"/>
        <v>-128000</v>
      </c>
      <c r="F343" s="17"/>
      <c r="G343" s="17"/>
      <c r="H343" s="17"/>
      <c r="I343" s="17"/>
      <c r="J343" s="17"/>
      <c r="K343" s="17"/>
      <c r="L343" s="60">
        <v>177000</v>
      </c>
      <c r="M343" s="17"/>
      <c r="N343" s="17"/>
      <c r="O343" s="17"/>
      <c r="P343" s="17"/>
      <c r="Q343" s="60">
        <v>177000</v>
      </c>
      <c r="R343" s="17">
        <v>118000</v>
      </c>
      <c r="S343" s="17"/>
      <c r="T343" s="17"/>
      <c r="U343" s="17"/>
      <c r="V343" s="17">
        <v>118000</v>
      </c>
      <c r="W343" s="17"/>
      <c r="X343" s="17"/>
      <c r="Y343" s="17"/>
      <c r="Z343" s="17"/>
      <c r="AA343" s="17"/>
      <c r="AB343" s="17"/>
      <c r="AC343" s="17"/>
      <c r="AD343" s="17"/>
      <c r="AE343" s="17"/>
      <c r="AF343" s="17">
        <v>118000</v>
      </c>
      <c r="AG343" s="17">
        <v>126500</v>
      </c>
      <c r="AH343" s="17"/>
      <c r="AI343" s="17"/>
      <c r="AJ343" s="49">
        <v>128000</v>
      </c>
      <c r="AK343" s="17">
        <v>118000</v>
      </c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  <c r="AX343" s="17"/>
      <c r="AY343" s="17"/>
      <c r="AZ343" s="17"/>
      <c r="BA343" s="56">
        <v>0</v>
      </c>
    </row>
    <row r="344" spans="1:53" x14ac:dyDescent="0.25">
      <c r="A344" s="23" t="s">
        <v>491</v>
      </c>
      <c r="B344" s="10" t="s">
        <v>492</v>
      </c>
      <c r="C344" s="9" t="s">
        <v>348</v>
      </c>
      <c r="D344" s="49">
        <v>148500</v>
      </c>
      <c r="E344" s="55">
        <f t="shared" si="6"/>
        <v>-148500</v>
      </c>
      <c r="F344" s="17"/>
      <c r="G344" s="17"/>
      <c r="H344" s="17"/>
      <c r="I344" s="17"/>
      <c r="J344" s="17"/>
      <c r="K344" s="17"/>
      <c r="L344" s="60">
        <v>183500</v>
      </c>
      <c r="M344" s="17"/>
      <c r="N344" s="17"/>
      <c r="O344" s="17">
        <v>82500</v>
      </c>
      <c r="P344" s="17">
        <v>82500</v>
      </c>
      <c r="Q344" s="60">
        <v>183500</v>
      </c>
      <c r="R344" s="17">
        <v>138500</v>
      </c>
      <c r="S344" s="17"/>
      <c r="T344" s="17"/>
      <c r="U344" s="17"/>
      <c r="V344" s="17">
        <v>138500</v>
      </c>
      <c r="W344" s="17"/>
      <c r="X344" s="17"/>
      <c r="Y344" s="17"/>
      <c r="Z344" s="17"/>
      <c r="AA344" s="17"/>
      <c r="AB344" s="17"/>
      <c r="AC344" s="17"/>
      <c r="AD344" s="17"/>
      <c r="AE344" s="17"/>
      <c r="AF344" s="17">
        <v>138500</v>
      </c>
      <c r="AG344" s="17">
        <v>148500</v>
      </c>
      <c r="AH344" s="17"/>
      <c r="AI344" s="17"/>
      <c r="AJ344" s="49">
        <v>148500</v>
      </c>
      <c r="AK344" s="17">
        <v>138500</v>
      </c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  <c r="AX344" s="17"/>
      <c r="AY344" s="17"/>
      <c r="AZ344" s="17"/>
      <c r="BA344" s="56">
        <v>0</v>
      </c>
    </row>
    <row r="345" spans="1:53" x14ac:dyDescent="0.25">
      <c r="A345" s="23" t="s">
        <v>493</v>
      </c>
      <c r="B345" s="10" t="s">
        <v>374</v>
      </c>
      <c r="C345" s="9"/>
      <c r="D345" s="49">
        <v>65000</v>
      </c>
      <c r="E345" s="55">
        <f t="shared" si="6"/>
        <v>-65000</v>
      </c>
      <c r="F345" s="17"/>
      <c r="G345" s="17"/>
      <c r="H345" s="17"/>
      <c r="I345" s="17"/>
      <c r="J345" s="17"/>
      <c r="K345" s="17"/>
      <c r="L345" s="60">
        <v>55000</v>
      </c>
      <c r="M345" s="17"/>
      <c r="N345" s="17"/>
      <c r="O345" s="17"/>
      <c r="P345" s="17"/>
      <c r="Q345" s="60">
        <v>55000</v>
      </c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49">
        <v>65000</v>
      </c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  <c r="AX345" s="17"/>
      <c r="AY345" s="17"/>
      <c r="AZ345" s="17"/>
      <c r="BA345" s="56">
        <v>0</v>
      </c>
    </row>
    <row r="346" spans="1:53" ht="25.5" x14ac:dyDescent="0.25">
      <c r="A346" s="23" t="s">
        <v>1770</v>
      </c>
      <c r="B346" s="10" t="s">
        <v>1771</v>
      </c>
      <c r="C346" t="s">
        <v>1772</v>
      </c>
      <c r="D346" s="49"/>
      <c r="E346" s="55">
        <f t="shared" si="6"/>
        <v>0</v>
      </c>
      <c r="F346" s="17"/>
      <c r="G346" s="17"/>
      <c r="H346" s="17"/>
      <c r="I346" s="17"/>
      <c r="J346" s="17"/>
      <c r="K346" s="17"/>
      <c r="L346" s="17"/>
      <c r="M346" s="17">
        <v>173400</v>
      </c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  <c r="AX346" s="17"/>
      <c r="AY346" s="17"/>
      <c r="AZ346" s="17"/>
      <c r="BA346" s="56">
        <v>0</v>
      </c>
    </row>
    <row r="347" spans="1:53" x14ac:dyDescent="0.25">
      <c r="A347" s="23"/>
      <c r="B347" s="10"/>
      <c r="C347" s="9"/>
      <c r="D347" s="49"/>
      <c r="E347" s="55">
        <f t="shared" si="6"/>
        <v>0</v>
      </c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  <c r="AX347" s="17"/>
      <c r="AY347" s="17"/>
      <c r="AZ347" s="17"/>
      <c r="BA347" s="56">
        <v>0</v>
      </c>
    </row>
    <row r="348" spans="1:53" x14ac:dyDescent="0.25">
      <c r="A348" s="23"/>
      <c r="B348" s="10"/>
      <c r="C348" s="9"/>
      <c r="D348" s="49"/>
      <c r="E348" s="55">
        <f t="shared" si="6"/>
        <v>0</v>
      </c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  <c r="AX348" s="17"/>
      <c r="AY348" s="17"/>
      <c r="AZ348" s="17"/>
      <c r="BA348" s="56">
        <v>0</v>
      </c>
    </row>
    <row r="349" spans="1:53" x14ac:dyDescent="0.25">
      <c r="A349" s="23"/>
      <c r="B349" s="10"/>
      <c r="C349" s="9"/>
      <c r="D349" s="49"/>
      <c r="E349" s="55">
        <f t="shared" si="6"/>
        <v>0</v>
      </c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  <c r="AX349" s="17"/>
      <c r="AY349" s="17"/>
      <c r="AZ349" s="17"/>
      <c r="BA349" s="56">
        <v>0</v>
      </c>
    </row>
    <row r="350" spans="1:53" x14ac:dyDescent="0.25">
      <c r="A350" s="23"/>
      <c r="B350" s="10"/>
      <c r="C350" s="9"/>
      <c r="D350" s="49"/>
      <c r="E350" s="55">
        <f t="shared" si="6"/>
        <v>0</v>
      </c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  <c r="AX350" s="17"/>
      <c r="AY350" s="17"/>
      <c r="AZ350" s="17"/>
      <c r="BA350" s="56">
        <v>0</v>
      </c>
    </row>
    <row r="351" spans="1:53" x14ac:dyDescent="0.25">
      <c r="A351" s="25">
        <v>14</v>
      </c>
      <c r="B351" s="22" t="s">
        <v>105</v>
      </c>
      <c r="C351" s="22"/>
      <c r="D351" s="22"/>
      <c r="E351" s="55">
        <f t="shared" si="6"/>
        <v>0</v>
      </c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56">
        <v>0</v>
      </c>
    </row>
    <row r="352" spans="1:53" x14ac:dyDescent="0.25">
      <c r="A352" s="23" t="s">
        <v>12</v>
      </c>
      <c r="B352" s="10" t="s">
        <v>106</v>
      </c>
      <c r="C352" s="9" t="s">
        <v>271</v>
      </c>
      <c r="D352" s="49">
        <v>95000</v>
      </c>
      <c r="E352" s="55">
        <f t="shared" si="6"/>
        <v>-95000</v>
      </c>
      <c r="F352" s="17">
        <v>80000</v>
      </c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>
        <v>98000</v>
      </c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  <c r="AX352" s="17"/>
      <c r="AY352" s="17"/>
      <c r="AZ352" s="17"/>
      <c r="BA352" s="56">
        <v>0</v>
      </c>
    </row>
    <row r="353" spans="1:58" x14ac:dyDescent="0.25">
      <c r="A353" s="23" t="s">
        <v>228</v>
      </c>
      <c r="B353" s="10" t="s">
        <v>107</v>
      </c>
      <c r="C353" s="9" t="s">
        <v>268</v>
      </c>
      <c r="D353" s="49">
        <v>1800000</v>
      </c>
      <c r="E353" s="55">
        <f t="shared" si="6"/>
        <v>-1800000</v>
      </c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  <c r="AX353" s="17"/>
      <c r="AY353" s="17"/>
      <c r="AZ353" s="17"/>
      <c r="BA353" s="56">
        <v>0</v>
      </c>
    </row>
    <row r="354" spans="1:58" x14ac:dyDescent="0.25">
      <c r="A354" s="23" t="s">
        <v>229</v>
      </c>
      <c r="B354" s="10" t="s">
        <v>108</v>
      </c>
      <c r="C354" s="9" t="s">
        <v>367</v>
      </c>
      <c r="D354" s="49">
        <v>110000</v>
      </c>
      <c r="E354" s="55">
        <f t="shared" si="6"/>
        <v>-110000</v>
      </c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  <c r="AX354" s="17"/>
      <c r="AY354" s="17"/>
      <c r="AZ354" s="17"/>
      <c r="BA354" s="56">
        <v>0</v>
      </c>
    </row>
    <row r="355" spans="1:58" x14ac:dyDescent="0.25">
      <c r="A355" s="23" t="s">
        <v>230</v>
      </c>
      <c r="B355" s="10" t="s">
        <v>109</v>
      </c>
      <c r="C355" s="9" t="s">
        <v>368</v>
      </c>
      <c r="D355" s="49">
        <v>45000</v>
      </c>
      <c r="E355" s="55">
        <f t="shared" si="6"/>
        <v>-45000</v>
      </c>
      <c r="F355" s="17">
        <v>30000</v>
      </c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  <c r="AX355" s="17"/>
      <c r="AY355" s="17"/>
      <c r="AZ355" s="17"/>
      <c r="BA355" s="56">
        <v>0</v>
      </c>
    </row>
    <row r="356" spans="1:58" ht="25.5" x14ac:dyDescent="0.25">
      <c r="A356" s="39" t="s">
        <v>345</v>
      </c>
      <c r="B356" s="40" t="s">
        <v>369</v>
      </c>
      <c r="C356" s="41" t="s">
        <v>268</v>
      </c>
      <c r="D356" s="51"/>
      <c r="E356" s="55">
        <f t="shared" si="6"/>
        <v>0</v>
      </c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6">
        <v>0</v>
      </c>
    </row>
    <row r="357" spans="1:58" ht="25.5" x14ac:dyDescent="0.25">
      <c r="A357" s="39" t="s">
        <v>370</v>
      </c>
      <c r="B357" s="40" t="s">
        <v>346</v>
      </c>
      <c r="C357" s="41" t="s">
        <v>347</v>
      </c>
      <c r="D357" s="51"/>
      <c r="E357" s="55">
        <f t="shared" si="6"/>
        <v>0</v>
      </c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6">
        <v>0</v>
      </c>
    </row>
    <row r="358" spans="1:58" x14ac:dyDescent="0.25">
      <c r="A358" s="39" t="s">
        <v>371</v>
      </c>
      <c r="B358" s="40" t="s">
        <v>494</v>
      </c>
      <c r="C358" s="41" t="s">
        <v>268</v>
      </c>
      <c r="D358" s="51">
        <v>150000</v>
      </c>
      <c r="E358" s="55">
        <f t="shared" si="6"/>
        <v>-150000</v>
      </c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6">
        <v>0</v>
      </c>
    </row>
    <row r="359" spans="1:58" ht="25.5" x14ac:dyDescent="0.25">
      <c r="A359" s="39" t="s">
        <v>372</v>
      </c>
      <c r="B359" s="40" t="s">
        <v>495</v>
      </c>
      <c r="C359" s="41" t="s">
        <v>268</v>
      </c>
      <c r="D359" s="51">
        <v>195000</v>
      </c>
      <c r="E359" s="55">
        <f t="shared" si="6"/>
        <v>-195000</v>
      </c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6">
        <v>0</v>
      </c>
    </row>
    <row r="360" spans="1:58" x14ac:dyDescent="0.25">
      <c r="A360" s="39" t="s">
        <v>496</v>
      </c>
      <c r="B360" s="40" t="s">
        <v>497</v>
      </c>
      <c r="C360" s="41" t="s">
        <v>268</v>
      </c>
      <c r="D360" s="51">
        <v>220000</v>
      </c>
      <c r="E360" s="55">
        <f t="shared" si="6"/>
        <v>-220000</v>
      </c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6">
        <v>0</v>
      </c>
    </row>
    <row r="361" spans="1:58" ht="25.5" x14ac:dyDescent="0.25">
      <c r="A361" s="39" t="s">
        <v>498</v>
      </c>
      <c r="B361" s="40" t="s">
        <v>346</v>
      </c>
      <c r="C361" s="41" t="s">
        <v>347</v>
      </c>
      <c r="D361" s="51"/>
      <c r="E361" s="55">
        <f t="shared" si="6"/>
        <v>0</v>
      </c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6">
        <v>0</v>
      </c>
    </row>
    <row r="362" spans="1:58" ht="25.5" x14ac:dyDescent="0.25">
      <c r="A362" s="39" t="s">
        <v>885</v>
      </c>
      <c r="B362" s="40" t="s">
        <v>886</v>
      </c>
      <c r="C362" s="41" t="s">
        <v>268</v>
      </c>
      <c r="D362" s="51">
        <v>330000</v>
      </c>
      <c r="E362" s="55">
        <f t="shared" si="6"/>
        <v>-330000</v>
      </c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>
        <v>312500</v>
      </c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6">
        <v>0</v>
      </c>
    </row>
    <row r="363" spans="1:58" x14ac:dyDescent="0.25">
      <c r="A363" s="39" t="s">
        <v>888</v>
      </c>
      <c r="B363" s="40" t="s">
        <v>887</v>
      </c>
      <c r="C363" s="41" t="s">
        <v>268</v>
      </c>
      <c r="D363" s="51">
        <v>350000</v>
      </c>
      <c r="E363" s="55">
        <f t="shared" si="6"/>
        <v>-350000</v>
      </c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>
        <v>332500</v>
      </c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6">
        <v>0</v>
      </c>
    </row>
    <row r="364" spans="1:58" x14ac:dyDescent="0.25">
      <c r="A364" s="39"/>
      <c r="B364" s="40"/>
      <c r="C364" s="41"/>
      <c r="D364" s="51"/>
      <c r="E364" s="55">
        <f t="shared" si="6"/>
        <v>0</v>
      </c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6">
        <v>0</v>
      </c>
    </row>
    <row r="365" spans="1:58" x14ac:dyDescent="0.25">
      <c r="A365" s="38"/>
      <c r="B365" s="38"/>
      <c r="C365" s="43"/>
      <c r="D365" s="14"/>
      <c r="E365" s="55">
        <f t="shared" si="6"/>
        <v>0</v>
      </c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8"/>
      <c r="AJ365" s="38"/>
      <c r="AK365" s="38"/>
      <c r="AL365" s="38"/>
      <c r="AM365" s="38"/>
      <c r="AN365" s="38"/>
      <c r="AO365" s="38"/>
      <c r="AP365" s="38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  <c r="BA365" s="38"/>
      <c r="BB365" s="38"/>
      <c r="BC365" s="38"/>
      <c r="BD365" s="38"/>
      <c r="BE365" s="38"/>
      <c r="BF365" s="38"/>
    </row>
    <row r="366" spans="1:58" x14ac:dyDescent="0.25">
      <c r="A366" s="38"/>
      <c r="B366" s="38"/>
      <c r="C366" s="43"/>
      <c r="D366" s="14"/>
      <c r="E366" s="55">
        <f t="shared" si="6"/>
        <v>0</v>
      </c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8"/>
      <c r="AJ366" s="38"/>
      <c r="AK366" s="38"/>
      <c r="AL366" s="38"/>
      <c r="AM366" s="38"/>
      <c r="AN366" s="38"/>
      <c r="AO366" s="38"/>
      <c r="AP366" s="38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  <c r="BA366" s="38"/>
      <c r="BB366" s="38"/>
      <c r="BC366" s="38"/>
      <c r="BD366" s="38"/>
      <c r="BE366" s="38"/>
      <c r="BF366" s="38"/>
    </row>
    <row r="367" spans="1:58" x14ac:dyDescent="0.25">
      <c r="A367" s="44">
        <v>15</v>
      </c>
      <c r="B367" s="45" t="s">
        <v>303</v>
      </c>
      <c r="C367" s="45"/>
      <c r="D367" s="45"/>
      <c r="E367" s="55">
        <f t="shared" si="6"/>
        <v>0</v>
      </c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  <c r="AG367" s="46"/>
      <c r="AH367" s="46"/>
      <c r="AI367" s="46"/>
      <c r="AJ367" s="46"/>
      <c r="AK367" s="46"/>
      <c r="AL367" s="46"/>
      <c r="AM367" s="46"/>
      <c r="AN367" s="46"/>
      <c r="AO367" s="46"/>
      <c r="AP367" s="46"/>
      <c r="AQ367" s="46"/>
      <c r="AR367" s="46"/>
      <c r="AS367" s="46"/>
      <c r="AT367" s="46"/>
      <c r="AU367" s="46"/>
      <c r="AV367" s="46"/>
      <c r="AW367" s="46"/>
      <c r="AX367" s="46"/>
      <c r="AY367" s="46"/>
      <c r="AZ367" s="104"/>
    </row>
    <row r="368" spans="1:58" x14ac:dyDescent="0.25">
      <c r="A368" s="23" t="s">
        <v>304</v>
      </c>
      <c r="B368" s="38" t="s">
        <v>305</v>
      </c>
      <c r="C368" s="43" t="s">
        <v>306</v>
      </c>
      <c r="D368" s="51">
        <v>145000</v>
      </c>
      <c r="E368" s="55">
        <f t="shared" si="6"/>
        <v>-145000</v>
      </c>
      <c r="F368" s="38"/>
      <c r="G368" s="38"/>
      <c r="H368" s="38"/>
      <c r="I368" s="38"/>
      <c r="J368" s="38"/>
      <c r="K368" s="38"/>
      <c r="L368" s="17"/>
      <c r="M368" s="38"/>
      <c r="N368" s="38"/>
      <c r="O368" s="38"/>
      <c r="P368" s="38"/>
      <c r="Q368" s="17"/>
      <c r="R368" s="17"/>
      <c r="S368" s="17"/>
      <c r="T368" s="17"/>
      <c r="U368" s="17"/>
      <c r="V368" s="17"/>
      <c r="W368" s="17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8"/>
      <c r="AJ368" s="38"/>
      <c r="AK368" s="38"/>
      <c r="AL368" s="38"/>
      <c r="AM368" s="38"/>
      <c r="AN368" s="38"/>
      <c r="AO368" s="38"/>
      <c r="AP368" s="38"/>
      <c r="AQ368" s="38"/>
      <c r="AR368" s="38"/>
      <c r="AS368" s="38"/>
      <c r="AT368" s="38"/>
      <c r="AU368" s="38"/>
      <c r="AV368" s="38"/>
      <c r="AW368" s="38"/>
      <c r="AX368" s="38"/>
      <c r="AY368" s="38"/>
      <c r="AZ368" s="38"/>
      <c r="BA368" s="38"/>
      <c r="BB368" s="38"/>
      <c r="BC368" s="38"/>
      <c r="BD368" s="38"/>
      <c r="BE368" s="38"/>
      <c r="BF368" s="38"/>
    </row>
    <row r="369" spans="1:58" x14ac:dyDescent="0.25">
      <c r="A369" s="23"/>
      <c r="B369" s="38"/>
      <c r="C369" s="43"/>
      <c r="D369" s="51"/>
      <c r="E369" s="55">
        <f t="shared" si="6"/>
        <v>0</v>
      </c>
      <c r="F369" s="38"/>
      <c r="G369" s="38"/>
      <c r="H369" s="38"/>
      <c r="I369" s="38"/>
      <c r="J369" s="38"/>
      <c r="K369" s="38"/>
      <c r="L369" s="17"/>
      <c r="M369" s="38"/>
      <c r="N369" s="38"/>
      <c r="O369" s="38"/>
      <c r="P369" s="38"/>
      <c r="Q369" s="17"/>
      <c r="R369" s="17"/>
      <c r="S369" s="17"/>
      <c r="T369" s="17"/>
      <c r="U369" s="17"/>
      <c r="V369" s="17"/>
      <c r="W369" s="17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8"/>
      <c r="AJ369" s="38"/>
      <c r="AK369" s="38"/>
      <c r="AL369" s="38"/>
      <c r="AM369" s="38"/>
      <c r="AN369" s="38"/>
      <c r="AO369" s="38"/>
      <c r="AP369" s="38"/>
      <c r="AQ369" s="38"/>
      <c r="AR369" s="38"/>
      <c r="AS369" s="38"/>
      <c r="AT369" s="38"/>
      <c r="AU369" s="38"/>
      <c r="AV369" s="38"/>
      <c r="AW369" s="38"/>
      <c r="AX369" s="38"/>
      <c r="AY369" s="38"/>
      <c r="AZ369" s="38"/>
      <c r="BA369" s="38"/>
      <c r="BB369" s="38"/>
      <c r="BC369" s="38"/>
      <c r="BD369" s="38"/>
      <c r="BE369" s="38"/>
      <c r="BF369" s="38"/>
    </row>
    <row r="370" spans="1:58" x14ac:dyDescent="0.25">
      <c r="A370" s="23"/>
      <c r="B370" s="38"/>
      <c r="C370" s="43"/>
      <c r="D370" s="51"/>
      <c r="E370" s="55">
        <f t="shared" si="6"/>
        <v>0</v>
      </c>
      <c r="F370" s="38"/>
      <c r="G370" s="38"/>
      <c r="H370" s="38"/>
      <c r="I370" s="38"/>
      <c r="J370" s="38"/>
      <c r="K370" s="38"/>
      <c r="L370" s="17"/>
      <c r="M370" s="38"/>
      <c r="N370" s="38"/>
      <c r="O370" s="38"/>
      <c r="P370" s="38"/>
      <c r="Q370" s="17"/>
      <c r="R370" s="17"/>
      <c r="S370" s="17"/>
      <c r="T370" s="17"/>
      <c r="U370" s="17"/>
      <c r="V370" s="17"/>
      <c r="W370" s="17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8"/>
      <c r="AJ370" s="38"/>
      <c r="AK370" s="38"/>
      <c r="AL370" s="38"/>
      <c r="AM370" s="38"/>
      <c r="AN370" s="38"/>
      <c r="AO370" s="38"/>
      <c r="AP370" s="38"/>
      <c r="AQ370" s="38"/>
      <c r="AR370" s="38"/>
      <c r="AS370" s="38"/>
      <c r="AT370" s="38"/>
      <c r="AU370" s="38"/>
      <c r="AV370" s="38"/>
      <c r="AW370" s="38"/>
      <c r="AX370" s="38"/>
      <c r="AY370" s="38"/>
      <c r="AZ370" s="38"/>
      <c r="BA370" s="38"/>
      <c r="BB370" s="38"/>
      <c r="BC370" s="38"/>
      <c r="BD370" s="38"/>
      <c r="BE370" s="38"/>
      <c r="BF370" s="38"/>
    </row>
    <row r="371" spans="1:58" x14ac:dyDescent="0.25">
      <c r="A371" s="44">
        <v>16</v>
      </c>
      <c r="B371" s="45" t="s">
        <v>499</v>
      </c>
      <c r="C371" s="45"/>
      <c r="D371" s="22"/>
      <c r="E371" s="55">
        <f t="shared" si="6"/>
        <v>0</v>
      </c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  <c r="AG371" s="46"/>
      <c r="AH371" s="46"/>
      <c r="AI371" s="46"/>
      <c r="AJ371" s="46"/>
      <c r="AK371" s="46"/>
      <c r="AL371" s="46"/>
      <c r="AM371" s="46"/>
      <c r="AN371" s="46"/>
      <c r="AO371" s="46"/>
      <c r="AP371" s="46"/>
      <c r="AQ371" s="46"/>
      <c r="AR371" s="46"/>
      <c r="AS371" s="46"/>
      <c r="AT371" s="46"/>
      <c r="AU371" s="46"/>
      <c r="AV371" s="46"/>
      <c r="AW371" s="46"/>
      <c r="AX371" s="46"/>
      <c r="AY371" s="46"/>
      <c r="AZ371" s="104"/>
    </row>
    <row r="372" spans="1:58" x14ac:dyDescent="0.25">
      <c r="A372" s="23" t="s">
        <v>237</v>
      </c>
      <c r="B372" s="38" t="s">
        <v>500</v>
      </c>
      <c r="C372" s="43" t="s">
        <v>268</v>
      </c>
      <c r="D372" s="51"/>
      <c r="E372" s="55">
        <f t="shared" si="6"/>
        <v>0</v>
      </c>
      <c r="F372" s="38"/>
      <c r="G372" s="38"/>
      <c r="H372" s="38"/>
      <c r="I372" s="38"/>
      <c r="J372" s="38"/>
      <c r="K372" s="38"/>
      <c r="L372" s="53">
        <v>22300000</v>
      </c>
      <c r="M372" s="53">
        <v>22300000</v>
      </c>
      <c r="N372" s="53">
        <v>22300000</v>
      </c>
      <c r="O372" s="53">
        <v>22300000</v>
      </c>
      <c r="P372" s="53">
        <v>22300000</v>
      </c>
      <c r="Q372" s="53">
        <v>22300000</v>
      </c>
      <c r="R372" s="38"/>
      <c r="S372" s="3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8"/>
      <c r="AJ372" s="38"/>
      <c r="AK372" s="38"/>
      <c r="AL372" s="38"/>
      <c r="AM372" s="38"/>
      <c r="AN372" s="38"/>
      <c r="AO372" s="38"/>
      <c r="AP372" s="38"/>
      <c r="AQ372" s="38"/>
      <c r="AR372" s="38"/>
      <c r="AS372" s="38"/>
      <c r="AT372" s="38"/>
      <c r="AU372" s="38"/>
      <c r="AV372" s="38"/>
      <c r="AW372" s="38"/>
      <c r="AX372" s="38"/>
      <c r="AY372" s="38"/>
      <c r="AZ372" s="38"/>
      <c r="BA372" s="38"/>
      <c r="BB372" s="38"/>
      <c r="BC372" s="38"/>
      <c r="BD372" s="38"/>
      <c r="BE372" s="38"/>
      <c r="BF372" s="38"/>
    </row>
    <row r="373" spans="1:58" x14ac:dyDescent="0.25">
      <c r="A373" s="23"/>
      <c r="B373" s="38"/>
      <c r="C373" s="43"/>
      <c r="D373" s="51"/>
      <c r="E373" s="55">
        <f t="shared" si="6"/>
        <v>0</v>
      </c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8"/>
      <c r="AJ373" s="38"/>
      <c r="AK373" s="38"/>
      <c r="AL373" s="38"/>
      <c r="AM373" s="38"/>
      <c r="AN373" s="38"/>
      <c r="AO373" s="38"/>
      <c r="AP373" s="38"/>
      <c r="AQ373" s="38"/>
      <c r="AR373" s="38"/>
      <c r="AS373" s="38"/>
      <c r="AT373" s="38"/>
      <c r="AU373" s="38"/>
      <c r="AV373" s="38"/>
      <c r="AW373" s="38"/>
      <c r="AX373" s="38"/>
      <c r="AY373" s="38"/>
      <c r="AZ373" s="38"/>
      <c r="BA373" s="38"/>
      <c r="BB373" s="38"/>
      <c r="BC373" s="38"/>
      <c r="BD373" s="38"/>
      <c r="BE373" s="38"/>
      <c r="BF373" s="38"/>
    </row>
    <row r="374" spans="1:58" x14ac:dyDescent="0.25">
      <c r="A374" s="23"/>
      <c r="B374" s="38"/>
      <c r="C374" s="43"/>
      <c r="D374" s="51"/>
      <c r="E374" s="55">
        <f t="shared" si="6"/>
        <v>0</v>
      </c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8"/>
      <c r="AJ374" s="38"/>
      <c r="AK374" s="38"/>
      <c r="AL374" s="38"/>
      <c r="AM374" s="38"/>
      <c r="AN374" s="38"/>
      <c r="AO374" s="38"/>
      <c r="AP374" s="38"/>
      <c r="AQ374" s="38"/>
      <c r="AR374" s="38"/>
      <c r="AS374" s="38"/>
      <c r="AT374" s="38"/>
      <c r="AU374" s="38"/>
      <c r="AV374" s="38"/>
      <c r="AW374" s="38"/>
      <c r="AX374" s="38"/>
      <c r="AY374" s="38"/>
      <c r="AZ374" s="38"/>
      <c r="BA374" s="38"/>
      <c r="BB374" s="38"/>
      <c r="BC374" s="38"/>
      <c r="BD374" s="38"/>
      <c r="BE374" s="38"/>
      <c r="BF374" s="38"/>
    </row>
    <row r="375" spans="1:58" x14ac:dyDescent="0.25">
      <c r="A375" s="44">
        <v>17</v>
      </c>
      <c r="B375" s="45" t="s">
        <v>753</v>
      </c>
      <c r="C375" s="45"/>
      <c r="D375" s="45"/>
      <c r="E375" s="55">
        <f t="shared" si="6"/>
        <v>0</v>
      </c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  <c r="AG375" s="46"/>
      <c r="AH375" s="46"/>
      <c r="AI375" s="46"/>
      <c r="AJ375" s="46"/>
      <c r="AK375" s="46"/>
      <c r="AL375" s="46"/>
      <c r="AM375" s="46"/>
      <c r="AN375" s="46"/>
      <c r="AO375" s="46"/>
      <c r="AP375" s="46"/>
      <c r="AQ375" s="46"/>
      <c r="AR375" s="46"/>
      <c r="AS375" s="46"/>
      <c r="AT375" s="46"/>
      <c r="AU375" s="46"/>
      <c r="AV375" s="46"/>
      <c r="AW375" s="46"/>
      <c r="AX375" s="46"/>
      <c r="AY375" s="46"/>
      <c r="AZ375" s="104"/>
    </row>
    <row r="376" spans="1:58" x14ac:dyDescent="0.25">
      <c r="A376" s="23" t="s">
        <v>522</v>
      </c>
      <c r="B376" s="38" t="s">
        <v>754</v>
      </c>
      <c r="C376" s="43" t="s">
        <v>755</v>
      </c>
      <c r="D376" s="51">
        <v>380000</v>
      </c>
      <c r="E376" s="55">
        <f t="shared" si="6"/>
        <v>-380000</v>
      </c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8"/>
      <c r="AJ376" s="38"/>
      <c r="AK376" s="38"/>
      <c r="AL376" s="38"/>
      <c r="AM376" s="38"/>
      <c r="AN376" s="38"/>
      <c r="AO376" s="38"/>
      <c r="AP376" s="38"/>
      <c r="AQ376" s="38"/>
      <c r="AR376" s="38"/>
      <c r="AS376" s="38"/>
      <c r="AT376" s="38"/>
      <c r="AU376" s="38"/>
      <c r="AV376" s="38"/>
      <c r="AW376" s="38"/>
      <c r="AX376" s="38"/>
      <c r="AY376" s="38"/>
      <c r="AZ376" s="38"/>
      <c r="BA376" s="38"/>
      <c r="BB376" s="38"/>
      <c r="BC376" s="38"/>
      <c r="BD376" s="38"/>
      <c r="BE376" s="38"/>
      <c r="BF376" s="38"/>
    </row>
    <row r="377" spans="1:58" x14ac:dyDescent="0.25">
      <c r="A377" s="23" t="s">
        <v>756</v>
      </c>
      <c r="B377" s="38" t="s">
        <v>757</v>
      </c>
      <c r="C377" s="43" t="s">
        <v>758</v>
      </c>
      <c r="D377" s="51">
        <v>320000</v>
      </c>
      <c r="E377" s="55">
        <f t="shared" si="6"/>
        <v>-320000</v>
      </c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8"/>
      <c r="AJ377" s="38"/>
      <c r="AK377" s="38"/>
      <c r="AL377" s="38"/>
      <c r="AM377" s="38"/>
      <c r="AN377" s="38"/>
      <c r="AO377" s="38"/>
      <c r="AP377" s="38"/>
      <c r="AQ377" s="38"/>
      <c r="AR377" s="38"/>
      <c r="AS377" s="38"/>
      <c r="AT377" s="38"/>
      <c r="AU377" s="38"/>
      <c r="AV377" s="38"/>
      <c r="AW377" s="38"/>
      <c r="AX377" s="38"/>
      <c r="AY377" s="38"/>
      <c r="AZ377" s="38"/>
      <c r="BA377" s="38"/>
      <c r="BB377" s="38"/>
      <c r="BC377" s="38"/>
      <c r="BD377" s="38"/>
      <c r="BE377" s="38"/>
      <c r="BF377" s="38"/>
    </row>
    <row r="378" spans="1:58" x14ac:dyDescent="0.25">
      <c r="A378" s="23" t="s">
        <v>759</v>
      </c>
      <c r="B378" s="38" t="s">
        <v>760</v>
      </c>
      <c r="C378" s="43" t="s">
        <v>758</v>
      </c>
      <c r="D378" s="51">
        <v>320000</v>
      </c>
      <c r="E378" s="55">
        <f t="shared" si="6"/>
        <v>-320000</v>
      </c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8"/>
      <c r="AJ378" s="38"/>
      <c r="AK378" s="38"/>
      <c r="AL378" s="38"/>
      <c r="AM378" s="38"/>
      <c r="AN378" s="38"/>
      <c r="AO378" s="38"/>
      <c r="AP378" s="38"/>
      <c r="AQ378" s="38"/>
      <c r="AR378" s="38"/>
      <c r="AS378" s="38"/>
      <c r="AT378" s="38"/>
      <c r="AU378" s="38"/>
      <c r="AV378" s="38"/>
      <c r="AW378" s="38"/>
      <c r="AX378" s="38"/>
      <c r="AY378" s="38"/>
      <c r="AZ378" s="38"/>
      <c r="BA378" s="38"/>
      <c r="BB378" s="38"/>
      <c r="BC378" s="38"/>
      <c r="BD378" s="38"/>
      <c r="BE378" s="38"/>
      <c r="BF378" s="38"/>
    </row>
    <row r="379" spans="1:58" x14ac:dyDescent="0.25">
      <c r="A379" s="23" t="s">
        <v>761</v>
      </c>
      <c r="B379" s="38" t="s">
        <v>762</v>
      </c>
      <c r="C379" s="43" t="s">
        <v>763</v>
      </c>
      <c r="D379" s="51">
        <v>530000</v>
      </c>
      <c r="E379" s="55">
        <f t="shared" si="6"/>
        <v>-530000</v>
      </c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8"/>
      <c r="AJ379" s="38"/>
      <c r="AK379" s="38"/>
      <c r="AL379" s="38"/>
      <c r="AM379" s="38"/>
      <c r="AN379" s="38"/>
      <c r="AO379" s="38"/>
      <c r="AP379" s="38"/>
      <c r="AQ379" s="38"/>
      <c r="AR379" s="38"/>
      <c r="AS379" s="38"/>
      <c r="AT379" s="38"/>
      <c r="AU379" s="38"/>
      <c r="AV379" s="38"/>
      <c r="AW379" s="38"/>
      <c r="AX379" s="38"/>
      <c r="AY379" s="38"/>
      <c r="AZ379" s="38"/>
      <c r="BA379" s="38"/>
      <c r="BB379" s="38"/>
      <c r="BC379" s="38"/>
      <c r="BD379" s="38"/>
      <c r="BE379" s="38"/>
      <c r="BF379" s="38"/>
    </row>
    <row r="380" spans="1:58" x14ac:dyDescent="0.25">
      <c r="A380" s="23" t="s">
        <v>764</v>
      </c>
      <c r="B380" s="38" t="s">
        <v>765</v>
      </c>
      <c r="C380" s="43" t="s">
        <v>766</v>
      </c>
      <c r="D380" s="51">
        <v>35000</v>
      </c>
      <c r="E380" s="55">
        <f t="shared" si="6"/>
        <v>-35000</v>
      </c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8"/>
      <c r="AJ380" s="38"/>
      <c r="AK380" s="38"/>
      <c r="AL380" s="38"/>
      <c r="AM380" s="38"/>
      <c r="AN380" s="38"/>
      <c r="AO380" s="38"/>
      <c r="AP380" s="38"/>
      <c r="AQ380" s="38"/>
      <c r="AR380" s="38"/>
      <c r="AS380" s="38"/>
      <c r="AT380" s="38"/>
      <c r="AU380" s="38"/>
      <c r="AV380" s="38"/>
      <c r="AW380" s="38"/>
      <c r="AX380" s="38"/>
      <c r="AY380" s="38"/>
      <c r="AZ380" s="38"/>
      <c r="BA380" s="38"/>
      <c r="BB380" s="38"/>
      <c r="BC380" s="38"/>
      <c r="BD380" s="38"/>
      <c r="BE380" s="38"/>
      <c r="BF380" s="38"/>
    </row>
    <row r="381" spans="1:58" x14ac:dyDescent="0.25">
      <c r="A381" s="23" t="s">
        <v>767</v>
      </c>
      <c r="B381" s="38" t="s">
        <v>768</v>
      </c>
      <c r="C381" s="43" t="s">
        <v>769</v>
      </c>
      <c r="D381" s="51">
        <v>245000</v>
      </c>
      <c r="E381" s="55">
        <f t="shared" si="6"/>
        <v>-245000</v>
      </c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8"/>
      <c r="AJ381" s="38"/>
      <c r="AK381" s="38"/>
      <c r="AL381" s="38"/>
      <c r="AM381" s="38"/>
      <c r="AN381" s="38"/>
      <c r="AO381" s="38"/>
      <c r="AP381" s="38"/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  <c r="BA381" s="38"/>
      <c r="BB381" s="38"/>
      <c r="BC381" s="38"/>
      <c r="BD381" s="38"/>
      <c r="BE381" s="38"/>
      <c r="BF381" s="38"/>
    </row>
    <row r="382" spans="1:58" ht="30" x14ac:dyDescent="0.25">
      <c r="A382" s="23" t="s">
        <v>770</v>
      </c>
      <c r="B382" s="61" t="s">
        <v>771</v>
      </c>
      <c r="C382" s="43" t="s">
        <v>772</v>
      </c>
      <c r="D382" s="51">
        <v>175000</v>
      </c>
      <c r="E382" s="55">
        <f t="shared" si="6"/>
        <v>-175000</v>
      </c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8"/>
      <c r="AJ382" s="38"/>
      <c r="AK382" s="38"/>
      <c r="AL382" s="38"/>
      <c r="AM382" s="38"/>
      <c r="AN382" s="38"/>
      <c r="AO382" s="38"/>
      <c r="AP382" s="38"/>
      <c r="AQ382" s="38"/>
      <c r="AR382" s="38"/>
      <c r="AS382" s="38"/>
      <c r="AT382" s="38"/>
      <c r="AU382" s="38"/>
      <c r="AV382" s="38"/>
      <c r="AW382" s="38"/>
      <c r="AX382" s="38"/>
      <c r="AY382" s="38"/>
      <c r="AZ382" s="38"/>
      <c r="BA382" s="38"/>
      <c r="BB382" s="38"/>
      <c r="BC382" s="38"/>
      <c r="BD382" s="38"/>
      <c r="BE382" s="38"/>
      <c r="BF382" s="38"/>
    </row>
    <row r="383" spans="1:58" ht="30" x14ac:dyDescent="0.25">
      <c r="A383" s="23" t="s">
        <v>773</v>
      </c>
      <c r="B383" s="61" t="s">
        <v>774</v>
      </c>
      <c r="C383" s="43" t="s">
        <v>775</v>
      </c>
      <c r="D383" s="51">
        <v>810000</v>
      </c>
      <c r="E383" s="55">
        <f t="shared" si="6"/>
        <v>-810000</v>
      </c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8"/>
      <c r="AJ383" s="38"/>
      <c r="AK383" s="38"/>
      <c r="AL383" s="38"/>
      <c r="AM383" s="38"/>
      <c r="AN383" s="38"/>
      <c r="AO383" s="38"/>
      <c r="AP383" s="38"/>
      <c r="AQ383" s="38"/>
      <c r="AR383" s="38"/>
      <c r="AS383" s="38"/>
      <c r="AT383" s="38"/>
      <c r="AU383" s="38"/>
      <c r="AV383" s="38"/>
      <c r="AW383" s="38"/>
      <c r="AX383" s="38"/>
      <c r="AY383" s="38"/>
      <c r="AZ383" s="38"/>
      <c r="BA383" s="38"/>
      <c r="BB383" s="38"/>
      <c r="BC383" s="38"/>
      <c r="BD383" s="38"/>
      <c r="BE383" s="38"/>
      <c r="BF383" s="38"/>
    </row>
    <row r="384" spans="1:58" ht="30" x14ac:dyDescent="0.25">
      <c r="A384" s="23" t="s">
        <v>776</v>
      </c>
      <c r="B384" s="61" t="s">
        <v>777</v>
      </c>
      <c r="C384" s="43" t="s">
        <v>778</v>
      </c>
      <c r="D384" s="51">
        <v>330000</v>
      </c>
      <c r="E384" s="55">
        <f t="shared" si="6"/>
        <v>-330000</v>
      </c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8"/>
      <c r="AJ384" s="38"/>
      <c r="AK384" s="38"/>
      <c r="AL384" s="38"/>
      <c r="AM384" s="38"/>
      <c r="AN384" s="38"/>
      <c r="AO384" s="38"/>
      <c r="AP384" s="38"/>
      <c r="AQ384" s="38"/>
      <c r="AR384" s="38"/>
      <c r="AS384" s="38"/>
      <c r="AT384" s="38"/>
      <c r="AU384" s="38"/>
      <c r="AV384" s="38"/>
      <c r="AW384" s="38"/>
      <c r="AX384" s="38"/>
      <c r="AY384" s="38"/>
      <c r="AZ384" s="38"/>
      <c r="BA384" s="38"/>
      <c r="BB384" s="38"/>
      <c r="BC384" s="38"/>
      <c r="BD384" s="38"/>
      <c r="BE384" s="38"/>
      <c r="BF384" s="38"/>
    </row>
    <row r="385" spans="1:58" x14ac:dyDescent="0.25">
      <c r="A385" s="23"/>
      <c r="B385" s="38"/>
      <c r="C385" s="43"/>
      <c r="D385" s="51"/>
      <c r="E385" s="55">
        <f t="shared" si="6"/>
        <v>0</v>
      </c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8"/>
      <c r="AJ385" s="38"/>
      <c r="AK385" s="38"/>
      <c r="AL385" s="38"/>
      <c r="AM385" s="38"/>
      <c r="AN385" s="38"/>
      <c r="AO385" s="38"/>
      <c r="AP385" s="38"/>
      <c r="AQ385" s="38"/>
      <c r="AR385" s="38"/>
      <c r="AS385" s="38"/>
      <c r="AT385" s="38"/>
      <c r="AU385" s="38"/>
      <c r="AV385" s="38"/>
      <c r="AW385" s="38"/>
      <c r="AX385" s="38"/>
      <c r="AY385" s="38"/>
      <c r="AZ385" s="38"/>
      <c r="BA385" s="38"/>
      <c r="BB385" s="38"/>
      <c r="BC385" s="38"/>
      <c r="BD385" s="38"/>
      <c r="BE385" s="38"/>
      <c r="BF385" s="38"/>
    </row>
    <row r="386" spans="1:58" x14ac:dyDescent="0.25">
      <c r="A386" s="23"/>
      <c r="B386" s="38"/>
      <c r="C386" s="43"/>
      <c r="D386" s="51"/>
      <c r="E386" s="55">
        <f t="shared" si="6"/>
        <v>0</v>
      </c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8"/>
      <c r="AJ386" s="38"/>
      <c r="AK386" s="38"/>
      <c r="AL386" s="38"/>
      <c r="AM386" s="38"/>
      <c r="AN386" s="38"/>
      <c r="AO386" s="38"/>
      <c r="AP386" s="38"/>
      <c r="AQ386" s="38"/>
      <c r="AR386" s="38"/>
      <c r="AS386" s="38"/>
      <c r="AT386" s="38"/>
      <c r="AU386" s="38"/>
      <c r="AV386" s="38"/>
      <c r="AW386" s="38"/>
      <c r="AX386" s="38"/>
      <c r="AY386" s="38"/>
      <c r="AZ386" s="38"/>
      <c r="BA386" s="38"/>
      <c r="BB386" s="38"/>
      <c r="BC386" s="38"/>
      <c r="BD386" s="38"/>
      <c r="BE386" s="38"/>
      <c r="BF386" s="38"/>
    </row>
    <row r="387" spans="1:58" x14ac:dyDescent="0.25">
      <c r="A387" s="23"/>
      <c r="B387" s="38"/>
      <c r="C387" s="43"/>
      <c r="D387" s="51"/>
      <c r="E387" s="55">
        <f t="shared" si="6"/>
        <v>0</v>
      </c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8"/>
      <c r="AJ387" s="38"/>
      <c r="AK387" s="38"/>
      <c r="AL387" s="38"/>
      <c r="AM387" s="38"/>
      <c r="AN387" s="38"/>
      <c r="AO387" s="38"/>
      <c r="AP387" s="38"/>
      <c r="AQ387" s="38"/>
      <c r="AR387" s="38"/>
      <c r="AS387" s="38"/>
      <c r="AT387" s="38"/>
      <c r="AU387" s="38"/>
      <c r="AV387" s="38"/>
      <c r="AW387" s="38"/>
      <c r="AX387" s="38"/>
      <c r="AY387" s="38"/>
      <c r="AZ387" s="38"/>
      <c r="BA387" s="38"/>
      <c r="BB387" s="38"/>
      <c r="BC387" s="38"/>
      <c r="BD387" s="38"/>
      <c r="BE387" s="38"/>
      <c r="BF387" s="38"/>
    </row>
    <row r="388" spans="1:58" x14ac:dyDescent="0.25">
      <c r="A388" s="23"/>
      <c r="B388" s="38"/>
      <c r="C388" s="43"/>
      <c r="D388" s="51"/>
      <c r="E388" s="55">
        <f t="shared" si="6"/>
        <v>0</v>
      </c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8"/>
      <c r="AJ388" s="38"/>
      <c r="AK388" s="38"/>
      <c r="AL388" s="38"/>
      <c r="AM388" s="38"/>
      <c r="AN388" s="38"/>
      <c r="AO388" s="38"/>
      <c r="AP388" s="38"/>
      <c r="AQ388" s="38"/>
      <c r="AR388" s="38"/>
      <c r="AS388" s="38"/>
      <c r="AT388" s="38"/>
      <c r="AU388" s="38"/>
      <c r="AV388" s="38"/>
      <c r="AW388" s="38"/>
      <c r="AX388" s="38"/>
      <c r="AY388" s="38"/>
      <c r="AZ388" s="38"/>
      <c r="BA388" s="38"/>
      <c r="BB388" s="38"/>
      <c r="BC388" s="38"/>
      <c r="BD388" s="38"/>
      <c r="BE388" s="38"/>
      <c r="BF388" s="38"/>
    </row>
    <row r="389" spans="1:58" x14ac:dyDescent="0.25">
      <c r="A389" s="23"/>
      <c r="B389" s="38"/>
      <c r="C389" s="43"/>
      <c r="D389" s="51"/>
      <c r="E389" s="55">
        <f t="shared" si="6"/>
        <v>0</v>
      </c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8"/>
      <c r="AJ389" s="38"/>
      <c r="AK389" s="38"/>
      <c r="AL389" s="38"/>
      <c r="AM389" s="38"/>
      <c r="AN389" s="38"/>
      <c r="AO389" s="38"/>
      <c r="AP389" s="38"/>
      <c r="AQ389" s="38"/>
      <c r="AR389" s="38"/>
      <c r="AS389" s="38"/>
      <c r="AT389" s="38"/>
      <c r="AU389" s="38"/>
      <c r="AV389" s="38"/>
      <c r="AW389" s="38"/>
      <c r="AX389" s="38"/>
      <c r="AY389" s="38"/>
      <c r="AZ389" s="38"/>
      <c r="BA389" s="38"/>
      <c r="BB389" s="38"/>
      <c r="BC389" s="38"/>
      <c r="BD389" s="38"/>
      <c r="BE389" s="38"/>
      <c r="BF389" s="38"/>
    </row>
    <row r="390" spans="1:58" x14ac:dyDescent="0.25">
      <c r="A390" s="23"/>
      <c r="B390" s="38"/>
      <c r="C390" s="43"/>
      <c r="D390" s="51"/>
      <c r="E390" s="55">
        <f t="shared" si="6"/>
        <v>0</v>
      </c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8"/>
      <c r="AJ390" s="38"/>
      <c r="AK390" s="38"/>
      <c r="AL390" s="38"/>
      <c r="AM390" s="38"/>
      <c r="AN390" s="38"/>
      <c r="AO390" s="38"/>
      <c r="AP390" s="38"/>
      <c r="AQ390" s="38"/>
      <c r="AR390" s="38"/>
      <c r="AS390" s="38"/>
      <c r="AT390" s="38"/>
      <c r="AU390" s="38"/>
      <c r="AV390" s="38"/>
      <c r="AW390" s="38"/>
      <c r="AX390" s="38"/>
      <c r="AY390" s="38"/>
      <c r="AZ390" s="38"/>
      <c r="BA390" s="38"/>
      <c r="BB390" s="38"/>
      <c r="BC390" s="38"/>
      <c r="BD390" s="38"/>
      <c r="BE390" s="38"/>
      <c r="BF390" s="38"/>
    </row>
    <row r="391" spans="1:58" x14ac:dyDescent="0.25">
      <c r="A391" s="23"/>
      <c r="B391" s="38"/>
      <c r="C391" s="43"/>
      <c r="D391" s="51"/>
      <c r="E391" s="55">
        <f t="shared" ref="E391:E394" si="7">+(D391*$E$5)-D391</f>
        <v>0</v>
      </c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  <c r="AG391" s="38"/>
      <c r="AH391" s="38"/>
      <c r="AI391" s="38"/>
      <c r="AJ391" s="38"/>
      <c r="AK391" s="38"/>
      <c r="AL391" s="38"/>
      <c r="AM391" s="38"/>
      <c r="AN391" s="38"/>
      <c r="AO391" s="38"/>
      <c r="AP391" s="38"/>
      <c r="AQ391" s="38"/>
      <c r="AR391" s="38"/>
      <c r="AS391" s="38"/>
      <c r="AT391" s="38"/>
      <c r="AU391" s="38"/>
      <c r="AV391" s="38"/>
      <c r="AW391" s="38"/>
      <c r="AX391" s="38"/>
      <c r="AY391" s="38"/>
      <c r="AZ391" s="38"/>
      <c r="BA391" s="38"/>
      <c r="BB391" s="38"/>
      <c r="BC391" s="38"/>
      <c r="BD391" s="38"/>
      <c r="BE391" s="38"/>
      <c r="BF391" s="38"/>
    </row>
    <row r="392" spans="1:58" x14ac:dyDescent="0.25">
      <c r="A392" s="23"/>
      <c r="B392" s="38"/>
      <c r="C392" s="43"/>
      <c r="D392" s="51"/>
      <c r="E392" s="55">
        <f t="shared" si="7"/>
        <v>0</v>
      </c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8"/>
      <c r="AJ392" s="38"/>
      <c r="AK392" s="38"/>
      <c r="AL392" s="38"/>
      <c r="AM392" s="38"/>
      <c r="AN392" s="38"/>
      <c r="AO392" s="38"/>
      <c r="AP392" s="38"/>
      <c r="AQ392" s="38"/>
      <c r="AR392" s="38"/>
      <c r="AS392" s="38"/>
      <c r="AT392" s="38"/>
      <c r="AU392" s="38"/>
      <c r="AV392" s="38"/>
      <c r="AW392" s="38"/>
      <c r="AX392" s="38"/>
      <c r="AY392" s="38"/>
      <c r="AZ392" s="38"/>
      <c r="BA392" s="38"/>
      <c r="BB392" s="38"/>
      <c r="BC392" s="38"/>
      <c r="BD392" s="38"/>
      <c r="BE392" s="38"/>
      <c r="BF392" s="38"/>
    </row>
    <row r="393" spans="1:58" x14ac:dyDescent="0.25">
      <c r="A393" s="23"/>
      <c r="B393" s="38"/>
      <c r="C393" s="43"/>
      <c r="D393" s="51"/>
      <c r="E393" s="55">
        <f t="shared" si="7"/>
        <v>0</v>
      </c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8"/>
      <c r="AJ393" s="38"/>
      <c r="AK393" s="38"/>
      <c r="AL393" s="38"/>
      <c r="AM393" s="38"/>
      <c r="AN393" s="38"/>
      <c r="AO393" s="38"/>
      <c r="AP393" s="38"/>
      <c r="AQ393" s="38"/>
      <c r="AR393" s="38"/>
      <c r="AS393" s="38"/>
      <c r="AT393" s="38"/>
      <c r="AU393" s="38"/>
      <c r="AV393" s="38"/>
      <c r="AW393" s="38"/>
      <c r="AX393" s="38"/>
      <c r="AY393" s="38"/>
      <c r="AZ393" s="38"/>
      <c r="BA393" s="38"/>
      <c r="BB393" s="38"/>
      <c r="BC393" s="38"/>
      <c r="BD393" s="38"/>
      <c r="BE393" s="38"/>
      <c r="BF393" s="38"/>
    </row>
    <row r="394" spans="1:58" x14ac:dyDescent="0.25">
      <c r="A394" s="23"/>
      <c r="B394" s="38"/>
      <c r="C394" s="43"/>
      <c r="D394" s="51"/>
      <c r="E394" s="55">
        <f t="shared" si="7"/>
        <v>0</v>
      </c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8"/>
      <c r="AJ394" s="38"/>
      <c r="AK394" s="38"/>
      <c r="AL394" s="38"/>
      <c r="AM394" s="38"/>
      <c r="AN394" s="38"/>
      <c r="AO394" s="38"/>
      <c r="AP394" s="38"/>
      <c r="AQ394" s="38"/>
      <c r="AR394" s="38"/>
      <c r="AS394" s="38"/>
      <c r="AT394" s="38"/>
      <c r="AU394" s="38"/>
      <c r="AV394" s="38"/>
      <c r="AW394" s="38"/>
      <c r="AX394" s="38"/>
      <c r="AY394" s="38"/>
      <c r="AZ394" s="38"/>
      <c r="BA394" s="38"/>
      <c r="BB394" s="38"/>
      <c r="BC394" s="38"/>
      <c r="BD394" s="38"/>
      <c r="BE394" s="38"/>
      <c r="BF394" s="38"/>
    </row>
  </sheetData>
  <printOptions horizontalCentered="1"/>
  <pageMargins left="0.23622047244094491" right="0.23622047244094491" top="0.74803149606299213" bottom="0.74803149606299213" header="0.31496062992125984" footer="0.31496062992125984"/>
  <pageSetup orientation="portrait" horizontalDpi="4294967293" verticalDpi="4294967293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O1336"/>
  <sheetViews>
    <sheetView tabSelected="1" zoomScaleNormal="100" workbookViewId="0">
      <pane ySplit="1" topLeftCell="A1298" activePane="bottomLeft" state="frozen"/>
      <selection pane="bottomLeft" activeCell="A1334" sqref="A1334:L1336"/>
    </sheetView>
  </sheetViews>
  <sheetFormatPr baseColWidth="10" defaultColWidth="0" defaultRowHeight="15" x14ac:dyDescent="0.25"/>
  <cols>
    <col min="1" max="1" width="12.85546875" style="32" customWidth="1"/>
    <col min="2" max="2" width="11.42578125" style="27" customWidth="1"/>
    <col min="3" max="3" width="19.5703125" style="2" customWidth="1"/>
    <col min="4" max="4" width="12" style="2" customWidth="1"/>
    <col min="5" max="5" width="13.85546875" style="27" customWidth="1"/>
    <col min="6" max="6" width="70.85546875" bestFit="1" customWidth="1"/>
    <col min="7" max="7" width="18.42578125" style="2" customWidth="1"/>
    <col min="8" max="8" width="14" style="36" customWidth="1"/>
    <col min="9" max="9" width="13.42578125" customWidth="1"/>
    <col min="10" max="10" width="15.42578125" customWidth="1"/>
    <col min="11" max="11" width="11.42578125" style="2" customWidth="1"/>
    <col min="12" max="12" width="46.42578125" bestFit="1" customWidth="1"/>
    <col min="13" max="15" width="11.42578125" customWidth="1"/>
    <col min="16" max="16384" width="11.42578125" hidden="1"/>
  </cols>
  <sheetData>
    <row r="1" spans="1:12" s="31" customFormat="1" ht="39.75" customHeight="1" x14ac:dyDescent="0.25">
      <c r="A1" s="37" t="s">
        <v>956</v>
      </c>
      <c r="B1" s="30" t="s">
        <v>1</v>
      </c>
      <c r="C1" s="28" t="s">
        <v>957</v>
      </c>
      <c r="D1" s="28" t="s">
        <v>110</v>
      </c>
      <c r="E1" s="30" t="s">
        <v>111</v>
      </c>
      <c r="F1" s="28" t="s">
        <v>120</v>
      </c>
      <c r="G1" s="29" t="s">
        <v>121</v>
      </c>
      <c r="H1" s="29" t="s">
        <v>119</v>
      </c>
      <c r="I1" s="28" t="s">
        <v>235</v>
      </c>
      <c r="J1" s="28" t="s">
        <v>236</v>
      </c>
      <c r="K1" s="28" t="s">
        <v>256</v>
      </c>
      <c r="L1" s="31" t="s">
        <v>248</v>
      </c>
    </row>
    <row r="2" spans="1:12" hidden="1" x14ac:dyDescent="0.25">
      <c r="A2" s="52">
        <v>44956</v>
      </c>
      <c r="B2" s="27" t="s">
        <v>192</v>
      </c>
      <c r="C2" s="2">
        <v>22</v>
      </c>
      <c r="D2" s="2">
        <v>2</v>
      </c>
      <c r="E2" s="27" t="s">
        <v>135</v>
      </c>
      <c r="F2" t="s">
        <v>402</v>
      </c>
      <c r="G2" s="47"/>
      <c r="H2" s="54"/>
      <c r="I2" s="63" t="s">
        <v>1005</v>
      </c>
      <c r="J2" t="str">
        <f>CONCATENATE(Tabla1[[#This Row],[OBRA]],"/",Tabla1[[#This Row],[CODIGO ENSAYO]])</f>
        <v>10-2/1-9</v>
      </c>
      <c r="K2" s="2" t="str">
        <f>UPPER(TEXT(Tabla1[[#This Row],[FECHA INF]],"MMMM"))</f>
        <v>ENERO</v>
      </c>
      <c r="L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22/1/1900</v>
      </c>
    </row>
    <row r="3" spans="1:12" hidden="1" x14ac:dyDescent="0.25">
      <c r="A3" s="52">
        <v>44956</v>
      </c>
      <c r="B3" s="27" t="s">
        <v>192</v>
      </c>
      <c r="C3" s="2" t="s">
        <v>880</v>
      </c>
      <c r="D3" s="2">
        <v>420</v>
      </c>
      <c r="E3" s="27" t="s">
        <v>881</v>
      </c>
      <c r="F3" t="s">
        <v>792</v>
      </c>
      <c r="G3" s="47"/>
      <c r="H3" s="54"/>
      <c r="I3" s="63" t="s">
        <v>1005</v>
      </c>
      <c r="J3" t="str">
        <f>CONCATENATE(Tabla1[[#This Row],[OBRA]],"/",Tabla1[[#This Row],[CODIGO ENSAYO]])</f>
        <v>10-2/8-4a</v>
      </c>
      <c r="K3" s="2" t="str">
        <f>UPPER(TEXT(Tabla1[[#This Row],[FECHA INF]],"MMMM"))</f>
        <v>ENERO</v>
      </c>
      <c r="L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(2023-01-01 al 30)</v>
      </c>
    </row>
    <row r="4" spans="1:12" hidden="1" x14ac:dyDescent="0.25">
      <c r="A4" s="52">
        <v>44956</v>
      </c>
      <c r="B4" s="27" t="s">
        <v>192</v>
      </c>
      <c r="C4" s="2" t="s">
        <v>879</v>
      </c>
      <c r="D4" s="2">
        <v>9</v>
      </c>
      <c r="E4" s="27" t="s">
        <v>175</v>
      </c>
      <c r="F4" t="s">
        <v>390</v>
      </c>
      <c r="G4" s="47"/>
      <c r="H4" s="54"/>
      <c r="I4" s="63" t="s">
        <v>1005</v>
      </c>
      <c r="J4" t="str">
        <f>CONCATENATE(Tabla1[[#This Row],[OBRA]],"/",Tabla1[[#This Row],[CODIGO ENSAYO]])</f>
        <v>10-2/7-1</v>
      </c>
      <c r="K4" s="2" t="str">
        <f>UPPER(TEXT(Tabla1[[#This Row],[FECHA INF]],"MMMM"))</f>
        <v>ENERO</v>
      </c>
      <c r="L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(2023-01-03-11-11-11-13-15-24-24-24)</v>
      </c>
    </row>
    <row r="5" spans="1:12" hidden="1" x14ac:dyDescent="0.25">
      <c r="A5" s="52">
        <v>44956</v>
      </c>
      <c r="B5" s="27" t="s">
        <v>854</v>
      </c>
      <c r="C5" s="2" t="s">
        <v>855</v>
      </c>
      <c r="D5" s="2">
        <v>9</v>
      </c>
      <c r="E5" s="27" t="s">
        <v>123</v>
      </c>
      <c r="F5" t="s">
        <v>15</v>
      </c>
      <c r="G5" s="47"/>
      <c r="H5" s="54"/>
      <c r="I5" s="63" t="s">
        <v>1005</v>
      </c>
      <c r="J5" t="str">
        <f>CONCATENATE(Tabla1[[#This Row],[OBRA]],"/",Tabla1[[#This Row],[CODIGO ENSAYO]])</f>
        <v>8-1/1-1</v>
      </c>
      <c r="K5" s="2" t="str">
        <f>UPPER(TEXT(Tabla1[[#This Row],[FECHA INF]],"MMMM"))</f>
        <v>ENERO</v>
      </c>
      <c r="L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0001-23</v>
      </c>
    </row>
    <row r="6" spans="1:12" hidden="1" x14ac:dyDescent="0.25">
      <c r="A6" s="52">
        <v>44956</v>
      </c>
      <c r="B6" s="27" t="s">
        <v>192</v>
      </c>
      <c r="C6" s="2" t="s">
        <v>798</v>
      </c>
      <c r="D6" s="2">
        <v>1</v>
      </c>
      <c r="E6" s="27" t="s">
        <v>135</v>
      </c>
      <c r="F6" t="s">
        <v>402</v>
      </c>
      <c r="G6" s="47"/>
      <c r="H6" s="54"/>
      <c r="I6" s="63" t="s">
        <v>1005</v>
      </c>
      <c r="J6" t="str">
        <f>CONCATENATE(Tabla1[[#This Row],[OBRA]],"/",Tabla1[[#This Row],[CODIGO ENSAYO]])</f>
        <v>10-2/1-9</v>
      </c>
      <c r="K6" s="2" t="str">
        <f>UPPER(TEXT(Tabla1[[#This Row],[FECHA INF]],"MMMM"))</f>
        <v>ENERO</v>
      </c>
      <c r="L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0002-23</v>
      </c>
    </row>
    <row r="7" spans="1:12" hidden="1" x14ac:dyDescent="0.25">
      <c r="A7" s="52">
        <v>44956</v>
      </c>
      <c r="B7" s="27" t="s">
        <v>192</v>
      </c>
      <c r="C7" s="2" t="s">
        <v>799</v>
      </c>
      <c r="D7" s="2">
        <v>2</v>
      </c>
      <c r="E7" s="27" t="s">
        <v>135</v>
      </c>
      <c r="F7" t="s">
        <v>402</v>
      </c>
      <c r="G7" s="47"/>
      <c r="H7" s="54"/>
      <c r="I7" s="63" t="s">
        <v>1005</v>
      </c>
      <c r="J7" t="str">
        <f>CONCATENATE(Tabla1[[#This Row],[OBRA]],"/",Tabla1[[#This Row],[CODIGO ENSAYO]])</f>
        <v>10-2/1-9</v>
      </c>
      <c r="K7" s="2" t="str">
        <f>UPPER(TEXT(Tabla1[[#This Row],[FECHA INF]],"MMMM"))</f>
        <v>ENERO</v>
      </c>
      <c r="L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0005-23</v>
      </c>
    </row>
    <row r="8" spans="1:12" hidden="1" x14ac:dyDescent="0.25">
      <c r="A8" s="52">
        <v>44956</v>
      </c>
      <c r="B8" s="27" t="s">
        <v>854</v>
      </c>
      <c r="C8" s="2" t="s">
        <v>856</v>
      </c>
      <c r="D8" s="2">
        <v>9</v>
      </c>
      <c r="E8" s="27" t="s">
        <v>123</v>
      </c>
      <c r="F8" t="s">
        <v>15</v>
      </c>
      <c r="G8" s="47"/>
      <c r="H8" s="54"/>
      <c r="I8" s="63" t="s">
        <v>1005</v>
      </c>
      <c r="J8" t="str">
        <f>CONCATENATE(Tabla1[[#This Row],[OBRA]],"/",Tabla1[[#This Row],[CODIGO ENSAYO]])</f>
        <v>8-1/1-1</v>
      </c>
      <c r="K8" s="2" t="str">
        <f>UPPER(TEXT(Tabla1[[#This Row],[FECHA INF]],"MMMM"))</f>
        <v>ENERO</v>
      </c>
      <c r="L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0006-23</v>
      </c>
    </row>
    <row r="9" spans="1:12" hidden="1" x14ac:dyDescent="0.25">
      <c r="A9" s="52">
        <v>44956</v>
      </c>
      <c r="B9" s="27" t="s">
        <v>192</v>
      </c>
      <c r="C9" s="2" t="s">
        <v>830</v>
      </c>
      <c r="D9" s="2">
        <v>1</v>
      </c>
      <c r="E9" s="27" t="s">
        <v>135</v>
      </c>
      <c r="F9" t="s">
        <v>402</v>
      </c>
      <c r="G9" s="47"/>
      <c r="H9" s="54"/>
      <c r="I9" s="63" t="s">
        <v>1005</v>
      </c>
      <c r="J9" t="str">
        <f>CONCATENATE(Tabla1[[#This Row],[OBRA]],"/",Tabla1[[#This Row],[CODIGO ENSAYO]])</f>
        <v>10-2/1-9</v>
      </c>
      <c r="K9" s="2" t="str">
        <f>UPPER(TEXT(Tabla1[[#This Row],[FECHA INF]],"MMMM"))</f>
        <v>ENERO</v>
      </c>
      <c r="L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0007-23</v>
      </c>
    </row>
    <row r="10" spans="1:12" hidden="1" x14ac:dyDescent="0.25">
      <c r="A10" s="52">
        <v>44956</v>
      </c>
      <c r="B10" s="27" t="s">
        <v>192</v>
      </c>
      <c r="C10" s="2" t="s">
        <v>831</v>
      </c>
      <c r="D10" s="2">
        <v>2</v>
      </c>
      <c r="E10" s="27" t="s">
        <v>135</v>
      </c>
      <c r="F10" t="s">
        <v>402</v>
      </c>
      <c r="G10" s="47"/>
      <c r="H10" s="54"/>
      <c r="I10" s="63" t="s">
        <v>1005</v>
      </c>
      <c r="J10" t="str">
        <f>CONCATENATE(Tabla1[[#This Row],[OBRA]],"/",Tabla1[[#This Row],[CODIGO ENSAYO]])</f>
        <v>10-2/1-9</v>
      </c>
      <c r="K10" s="2" t="str">
        <f>UPPER(TEXT(Tabla1[[#This Row],[FECHA INF]],"MMMM"))</f>
        <v>ENERO</v>
      </c>
      <c r="L1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 xml:space="preserve">0008-23 </v>
      </c>
    </row>
    <row r="11" spans="1:12" hidden="1" x14ac:dyDescent="0.25">
      <c r="A11" s="52">
        <v>44956</v>
      </c>
      <c r="B11" s="27" t="s">
        <v>854</v>
      </c>
      <c r="C11" s="2" t="s">
        <v>857</v>
      </c>
      <c r="D11" s="2">
        <v>2</v>
      </c>
      <c r="E11" s="27" t="s">
        <v>123</v>
      </c>
      <c r="F11" t="s">
        <v>15</v>
      </c>
      <c r="G11" s="47"/>
      <c r="H11" s="54"/>
      <c r="I11" s="63" t="s">
        <v>1005</v>
      </c>
      <c r="J11" t="str">
        <f>CONCATENATE(Tabla1[[#This Row],[OBRA]],"/",Tabla1[[#This Row],[CODIGO ENSAYO]])</f>
        <v>8-1/1-1</v>
      </c>
      <c r="K11" s="2" t="str">
        <f>UPPER(TEXT(Tabla1[[#This Row],[FECHA INF]],"MMMM"))</f>
        <v>ENERO</v>
      </c>
      <c r="L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0009-23</v>
      </c>
    </row>
    <row r="12" spans="1:12" hidden="1" x14ac:dyDescent="0.25">
      <c r="A12" s="52">
        <v>44956</v>
      </c>
      <c r="B12" s="27" t="s">
        <v>192</v>
      </c>
      <c r="C12" s="2" t="s">
        <v>801</v>
      </c>
      <c r="D12" s="2">
        <v>1</v>
      </c>
      <c r="E12" s="27" t="s">
        <v>135</v>
      </c>
      <c r="F12" t="s">
        <v>402</v>
      </c>
      <c r="G12" s="47"/>
      <c r="H12" s="54"/>
      <c r="I12" s="63" t="s">
        <v>1005</v>
      </c>
      <c r="J12" t="str">
        <f>CONCATENATE(Tabla1[[#This Row],[OBRA]],"/",Tabla1[[#This Row],[CODIGO ENSAYO]])</f>
        <v>10-2/1-9</v>
      </c>
      <c r="K12" s="2" t="str">
        <f>UPPER(TEXT(Tabla1[[#This Row],[FECHA INF]],"MMMM"))</f>
        <v>ENERO</v>
      </c>
      <c r="L1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0010-23</v>
      </c>
    </row>
    <row r="13" spans="1:12" hidden="1" x14ac:dyDescent="0.25">
      <c r="A13" s="52">
        <v>44956</v>
      </c>
      <c r="B13" s="27" t="s">
        <v>192</v>
      </c>
      <c r="C13" s="2" t="s">
        <v>802</v>
      </c>
      <c r="D13" s="2">
        <v>3</v>
      </c>
      <c r="E13" s="27" t="s">
        <v>135</v>
      </c>
      <c r="F13" t="s">
        <v>402</v>
      </c>
      <c r="G13" s="47"/>
      <c r="H13" s="54"/>
      <c r="I13" s="63" t="s">
        <v>1005</v>
      </c>
      <c r="J13" t="str">
        <f>CONCATENATE(Tabla1[[#This Row],[OBRA]],"/",Tabla1[[#This Row],[CODIGO ENSAYO]])</f>
        <v>10-2/1-9</v>
      </c>
      <c r="K13" s="2" t="str">
        <f>UPPER(TEXT(Tabla1[[#This Row],[FECHA INF]],"MMMM"))</f>
        <v>ENERO</v>
      </c>
      <c r="L1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 xml:space="preserve">0011-23 </v>
      </c>
    </row>
    <row r="14" spans="1:12" hidden="1" x14ac:dyDescent="0.25">
      <c r="A14" s="52">
        <v>44956</v>
      </c>
      <c r="B14" s="27" t="s">
        <v>854</v>
      </c>
      <c r="C14" s="2" t="s">
        <v>858</v>
      </c>
      <c r="D14" s="2">
        <v>6</v>
      </c>
      <c r="E14" s="27" t="s">
        <v>123</v>
      </c>
      <c r="F14" t="s">
        <v>15</v>
      </c>
      <c r="G14" s="47"/>
      <c r="H14" s="54"/>
      <c r="I14" s="63" t="s">
        <v>1005</v>
      </c>
      <c r="J14" t="str">
        <f>CONCATENATE(Tabla1[[#This Row],[OBRA]],"/",Tabla1[[#This Row],[CODIGO ENSAYO]])</f>
        <v>8-1/1-1</v>
      </c>
      <c r="K14" s="2" t="str">
        <f>UPPER(TEXT(Tabla1[[#This Row],[FECHA INF]],"MMMM"))</f>
        <v>ENERO</v>
      </c>
      <c r="L1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0012-23</v>
      </c>
    </row>
    <row r="15" spans="1:12" hidden="1" x14ac:dyDescent="0.25">
      <c r="A15" s="52">
        <v>44956</v>
      </c>
      <c r="B15" s="27" t="s">
        <v>192</v>
      </c>
      <c r="C15" s="2" t="s">
        <v>803</v>
      </c>
      <c r="D15" s="2">
        <v>2</v>
      </c>
      <c r="E15" s="27" t="s">
        <v>135</v>
      </c>
      <c r="F15" t="s">
        <v>402</v>
      </c>
      <c r="G15" s="47"/>
      <c r="H15" s="54"/>
      <c r="I15" s="63" t="s">
        <v>1005</v>
      </c>
      <c r="J15" t="str">
        <f>CONCATENATE(Tabla1[[#This Row],[OBRA]],"/",Tabla1[[#This Row],[CODIGO ENSAYO]])</f>
        <v>10-2/1-9</v>
      </c>
      <c r="K15" s="2" t="str">
        <f>UPPER(TEXT(Tabla1[[#This Row],[FECHA INF]],"MMMM"))</f>
        <v>ENERO</v>
      </c>
      <c r="L1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0013-23</v>
      </c>
    </row>
    <row r="16" spans="1:12" hidden="1" x14ac:dyDescent="0.25">
      <c r="A16" s="52">
        <v>44956</v>
      </c>
      <c r="B16" s="27" t="s">
        <v>854</v>
      </c>
      <c r="C16" s="2" t="s">
        <v>859</v>
      </c>
      <c r="D16" s="2">
        <v>14</v>
      </c>
      <c r="E16" s="27" t="s">
        <v>123</v>
      </c>
      <c r="F16" t="s">
        <v>15</v>
      </c>
      <c r="G16" s="47"/>
      <c r="H16" s="54"/>
      <c r="I16" s="63" t="s">
        <v>1005</v>
      </c>
      <c r="J16" t="str">
        <f>CONCATENATE(Tabla1[[#This Row],[OBRA]],"/",Tabla1[[#This Row],[CODIGO ENSAYO]])</f>
        <v>8-1/1-1</v>
      </c>
      <c r="K16" s="2" t="str">
        <f>UPPER(TEXT(Tabla1[[#This Row],[FECHA INF]],"MMMM"))</f>
        <v>ENERO</v>
      </c>
      <c r="L1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0014-23</v>
      </c>
    </row>
    <row r="17" spans="1:12" hidden="1" x14ac:dyDescent="0.25">
      <c r="A17" s="52">
        <v>44956</v>
      </c>
      <c r="B17" s="27" t="s">
        <v>854</v>
      </c>
      <c r="C17" s="2" t="s">
        <v>860</v>
      </c>
      <c r="D17" s="2">
        <v>2</v>
      </c>
      <c r="E17" s="27" t="s">
        <v>123</v>
      </c>
      <c r="F17" t="s">
        <v>15</v>
      </c>
      <c r="G17" s="47"/>
      <c r="H17" s="54"/>
      <c r="I17" s="63" t="s">
        <v>1005</v>
      </c>
      <c r="J17" t="str">
        <f>CONCATENATE(Tabla1[[#This Row],[OBRA]],"/",Tabla1[[#This Row],[CODIGO ENSAYO]])</f>
        <v>8-1/1-1</v>
      </c>
      <c r="K17" s="2" t="str">
        <f>UPPER(TEXT(Tabla1[[#This Row],[FECHA INF]],"MMMM"))</f>
        <v>ENERO</v>
      </c>
      <c r="L1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0015-23</v>
      </c>
    </row>
    <row r="18" spans="1:12" hidden="1" x14ac:dyDescent="0.25">
      <c r="A18" s="52">
        <v>44956</v>
      </c>
      <c r="B18" s="27" t="s">
        <v>192</v>
      </c>
      <c r="C18" s="2" t="s">
        <v>804</v>
      </c>
      <c r="D18" s="2">
        <v>2</v>
      </c>
      <c r="E18" s="27" t="s">
        <v>135</v>
      </c>
      <c r="F18" t="s">
        <v>402</v>
      </c>
      <c r="G18" s="47"/>
      <c r="H18" s="54"/>
      <c r="I18" s="63" t="s">
        <v>1005</v>
      </c>
      <c r="J18" t="str">
        <f>CONCATENATE(Tabla1[[#This Row],[OBRA]],"/",Tabla1[[#This Row],[CODIGO ENSAYO]])</f>
        <v>10-2/1-9</v>
      </c>
      <c r="K18" s="2" t="str">
        <f>UPPER(TEXT(Tabla1[[#This Row],[FECHA INF]],"MMMM"))</f>
        <v>ENERO</v>
      </c>
      <c r="L1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0016-23</v>
      </c>
    </row>
    <row r="19" spans="1:12" hidden="1" x14ac:dyDescent="0.25">
      <c r="A19" s="52">
        <v>44956</v>
      </c>
      <c r="B19" s="27" t="s">
        <v>854</v>
      </c>
      <c r="C19" s="2" t="s">
        <v>861</v>
      </c>
      <c r="D19" s="2">
        <v>9</v>
      </c>
      <c r="E19" s="27" t="s">
        <v>123</v>
      </c>
      <c r="F19" t="s">
        <v>15</v>
      </c>
      <c r="G19" s="47"/>
      <c r="H19" s="54"/>
      <c r="I19" s="63" t="s">
        <v>1005</v>
      </c>
      <c r="J19" t="str">
        <f>CONCATENATE(Tabla1[[#This Row],[OBRA]],"/",Tabla1[[#This Row],[CODIGO ENSAYO]])</f>
        <v>8-1/1-1</v>
      </c>
      <c r="K19" s="2" t="str">
        <f>UPPER(TEXT(Tabla1[[#This Row],[FECHA INF]],"MMMM"))</f>
        <v>ENERO</v>
      </c>
      <c r="L1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0017-23</v>
      </c>
    </row>
    <row r="20" spans="1:12" hidden="1" x14ac:dyDescent="0.25">
      <c r="A20" s="52">
        <v>44956</v>
      </c>
      <c r="B20" s="27" t="s">
        <v>192</v>
      </c>
      <c r="C20" s="2" t="s">
        <v>805</v>
      </c>
      <c r="D20" s="2">
        <v>1</v>
      </c>
      <c r="E20" s="27" t="s">
        <v>135</v>
      </c>
      <c r="F20" t="s">
        <v>402</v>
      </c>
      <c r="G20" s="47"/>
      <c r="H20" s="54"/>
      <c r="I20" s="63" t="s">
        <v>1005</v>
      </c>
      <c r="J20" t="str">
        <f>CONCATENATE(Tabla1[[#This Row],[OBRA]],"/",Tabla1[[#This Row],[CODIGO ENSAYO]])</f>
        <v>10-2/1-9</v>
      </c>
      <c r="K20" s="2" t="str">
        <f>UPPER(TEXT(Tabla1[[#This Row],[FECHA INF]],"MMMM"))</f>
        <v>ENERO</v>
      </c>
      <c r="L2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0018-23</v>
      </c>
    </row>
    <row r="21" spans="1:12" hidden="1" x14ac:dyDescent="0.25">
      <c r="A21" s="52">
        <v>44956</v>
      </c>
      <c r="B21" s="27" t="s">
        <v>304</v>
      </c>
      <c r="C21" s="2" t="s">
        <v>800</v>
      </c>
      <c r="D21" s="2">
        <v>1</v>
      </c>
      <c r="E21" s="27" t="s">
        <v>137</v>
      </c>
      <c r="F21" t="s">
        <v>240</v>
      </c>
      <c r="G21" s="47"/>
      <c r="H21" s="54"/>
      <c r="I21" s="63" t="s">
        <v>1005</v>
      </c>
      <c r="J21" t="str">
        <f>CONCATENATE(Tabla1[[#This Row],[OBRA]],"/",Tabla1[[#This Row],[CODIGO ENSAYO]])</f>
        <v>15-1/2-1</v>
      </c>
      <c r="K21" s="2" t="str">
        <f>UPPER(TEXT(Tabla1[[#This Row],[FECHA INF]],"MMMM"))</f>
        <v>ENERO</v>
      </c>
      <c r="L2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0019-23</v>
      </c>
    </row>
    <row r="22" spans="1:12" hidden="1" x14ac:dyDescent="0.25">
      <c r="A22" s="52">
        <v>44956</v>
      </c>
      <c r="B22" s="27" t="s">
        <v>304</v>
      </c>
      <c r="C22" s="2" t="s">
        <v>800</v>
      </c>
      <c r="D22" s="2">
        <v>1</v>
      </c>
      <c r="E22" s="27" t="s">
        <v>138</v>
      </c>
      <c r="F22" t="s">
        <v>23</v>
      </c>
      <c r="G22" s="47"/>
      <c r="H22" s="54"/>
      <c r="I22" s="63" t="s">
        <v>1005</v>
      </c>
      <c r="J22" t="str">
        <f>CONCATENATE(Tabla1[[#This Row],[OBRA]],"/",Tabla1[[#This Row],[CODIGO ENSAYO]])</f>
        <v>15-1/2-2</v>
      </c>
      <c r="K22" s="2" t="str">
        <f>UPPER(TEXT(Tabla1[[#This Row],[FECHA INF]],"MMMM"))</f>
        <v>ENERO</v>
      </c>
      <c r="L2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0019-23</v>
      </c>
    </row>
    <row r="23" spans="1:12" hidden="1" x14ac:dyDescent="0.25">
      <c r="A23" s="52">
        <v>44956</v>
      </c>
      <c r="B23" s="27" t="s">
        <v>304</v>
      </c>
      <c r="C23" s="2" t="s">
        <v>800</v>
      </c>
      <c r="D23" s="2">
        <v>1</v>
      </c>
      <c r="E23" s="27" t="s">
        <v>139</v>
      </c>
      <c r="F23" t="s">
        <v>468</v>
      </c>
      <c r="G23" s="47"/>
      <c r="H23" s="54"/>
      <c r="I23" s="63" t="s">
        <v>1005</v>
      </c>
      <c r="J23" t="str">
        <f>CONCATENATE(Tabla1[[#This Row],[OBRA]],"/",Tabla1[[#This Row],[CODIGO ENSAYO]])</f>
        <v>15-1/2-3</v>
      </c>
      <c r="K23" s="2" t="str">
        <f>UPPER(TEXT(Tabla1[[#This Row],[FECHA INF]],"MMMM"))</f>
        <v>ENERO</v>
      </c>
      <c r="L2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0019-23</v>
      </c>
    </row>
    <row r="24" spans="1:12" hidden="1" x14ac:dyDescent="0.25">
      <c r="A24" s="52">
        <v>44956</v>
      </c>
      <c r="B24" s="27" t="s">
        <v>854</v>
      </c>
      <c r="C24" s="2" t="s">
        <v>862</v>
      </c>
      <c r="D24" s="2">
        <v>2</v>
      </c>
      <c r="E24" s="27" t="s">
        <v>123</v>
      </c>
      <c r="F24" t="s">
        <v>15</v>
      </c>
      <c r="G24" s="47"/>
      <c r="H24" s="54"/>
      <c r="I24" s="63" t="s">
        <v>1005</v>
      </c>
      <c r="J24" t="str">
        <f>CONCATENATE(Tabla1[[#This Row],[OBRA]],"/",Tabla1[[#This Row],[CODIGO ENSAYO]])</f>
        <v>8-1/1-1</v>
      </c>
      <c r="K24" s="2" t="str">
        <f>UPPER(TEXT(Tabla1[[#This Row],[FECHA INF]],"MMMM"))</f>
        <v>ENERO</v>
      </c>
      <c r="L2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0020-23</v>
      </c>
    </row>
    <row r="25" spans="1:12" hidden="1" x14ac:dyDescent="0.25">
      <c r="A25" s="52">
        <v>44956</v>
      </c>
      <c r="B25" s="27" t="s">
        <v>192</v>
      </c>
      <c r="C25" s="2" t="s">
        <v>806</v>
      </c>
      <c r="D25" s="2">
        <v>2</v>
      </c>
      <c r="E25" s="27" t="s">
        <v>135</v>
      </c>
      <c r="F25" t="s">
        <v>402</v>
      </c>
      <c r="G25" s="47"/>
      <c r="H25" s="54"/>
      <c r="I25" s="63" t="s">
        <v>1005</v>
      </c>
      <c r="J25" t="str">
        <f>CONCATENATE(Tabla1[[#This Row],[OBRA]],"/",Tabla1[[#This Row],[CODIGO ENSAYO]])</f>
        <v>10-2/1-9</v>
      </c>
      <c r="K25" s="2" t="str">
        <f>UPPER(TEXT(Tabla1[[#This Row],[FECHA INF]],"MMMM"))</f>
        <v>ENERO</v>
      </c>
      <c r="L2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0021-23</v>
      </c>
    </row>
    <row r="26" spans="1:12" hidden="1" x14ac:dyDescent="0.25">
      <c r="A26" s="52">
        <v>44956</v>
      </c>
      <c r="B26" s="27" t="s">
        <v>854</v>
      </c>
      <c r="C26" s="2" t="s">
        <v>863</v>
      </c>
      <c r="D26" s="2">
        <v>5</v>
      </c>
      <c r="E26" s="27" t="s">
        <v>123</v>
      </c>
      <c r="F26" t="s">
        <v>15</v>
      </c>
      <c r="G26" s="47"/>
      <c r="H26" s="54"/>
      <c r="I26" s="63" t="s">
        <v>1005</v>
      </c>
      <c r="J26" t="str">
        <f>CONCATENATE(Tabla1[[#This Row],[OBRA]],"/",Tabla1[[#This Row],[CODIGO ENSAYO]])</f>
        <v>8-1/1-1</v>
      </c>
      <c r="K26" s="2" t="str">
        <f>UPPER(TEXT(Tabla1[[#This Row],[FECHA INF]],"MMMM"))</f>
        <v>ENERO</v>
      </c>
      <c r="L2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0022-23</v>
      </c>
    </row>
    <row r="27" spans="1:12" hidden="1" x14ac:dyDescent="0.25">
      <c r="A27" s="52">
        <v>44956</v>
      </c>
      <c r="B27" s="27" t="s">
        <v>192</v>
      </c>
      <c r="C27" s="2" t="s">
        <v>807</v>
      </c>
      <c r="D27" s="2">
        <v>1</v>
      </c>
      <c r="E27" s="27" t="s">
        <v>135</v>
      </c>
      <c r="F27" t="s">
        <v>402</v>
      </c>
      <c r="G27" s="47"/>
      <c r="H27" s="54"/>
      <c r="I27" s="63" t="s">
        <v>1005</v>
      </c>
      <c r="J27" t="str">
        <f>CONCATENATE(Tabla1[[#This Row],[OBRA]],"/",Tabla1[[#This Row],[CODIGO ENSAYO]])</f>
        <v>10-2/1-9</v>
      </c>
      <c r="K27" s="2" t="str">
        <f>UPPER(TEXT(Tabla1[[#This Row],[FECHA INF]],"MMMM"))</f>
        <v>ENERO</v>
      </c>
      <c r="L2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0023-23</v>
      </c>
    </row>
    <row r="28" spans="1:12" hidden="1" x14ac:dyDescent="0.25">
      <c r="A28" s="52">
        <v>44956</v>
      </c>
      <c r="B28" s="27" t="s">
        <v>192</v>
      </c>
      <c r="C28" s="2" t="s">
        <v>808</v>
      </c>
      <c r="D28" s="2">
        <v>7</v>
      </c>
      <c r="E28" s="27" t="s">
        <v>135</v>
      </c>
      <c r="F28" t="s">
        <v>402</v>
      </c>
      <c r="G28" s="47"/>
      <c r="H28" s="54"/>
      <c r="I28" s="63" t="s">
        <v>1005</v>
      </c>
      <c r="J28" t="str">
        <f>CONCATENATE(Tabla1[[#This Row],[OBRA]],"/",Tabla1[[#This Row],[CODIGO ENSAYO]])</f>
        <v>10-2/1-9</v>
      </c>
      <c r="K28" s="2" t="str">
        <f>UPPER(TEXT(Tabla1[[#This Row],[FECHA INF]],"MMMM"))</f>
        <v>ENERO</v>
      </c>
      <c r="L2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0024-23</v>
      </c>
    </row>
    <row r="29" spans="1:12" hidden="1" x14ac:dyDescent="0.25">
      <c r="A29" s="52">
        <v>44956</v>
      </c>
      <c r="B29" s="27" t="s">
        <v>192</v>
      </c>
      <c r="C29" s="2" t="s">
        <v>809</v>
      </c>
      <c r="D29" s="2">
        <v>6</v>
      </c>
      <c r="E29" s="27" t="s">
        <v>135</v>
      </c>
      <c r="F29" t="s">
        <v>402</v>
      </c>
      <c r="G29" s="47"/>
      <c r="H29" s="54"/>
      <c r="I29" s="63" t="s">
        <v>1005</v>
      </c>
      <c r="J29" t="str">
        <f>CONCATENATE(Tabla1[[#This Row],[OBRA]],"/",Tabla1[[#This Row],[CODIGO ENSAYO]])</f>
        <v>10-2/1-9</v>
      </c>
      <c r="K29" s="2" t="str">
        <f>UPPER(TEXT(Tabla1[[#This Row],[FECHA INF]],"MMMM"))</f>
        <v>ENERO</v>
      </c>
      <c r="L2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0025-23</v>
      </c>
    </row>
    <row r="30" spans="1:12" hidden="1" x14ac:dyDescent="0.25">
      <c r="A30" s="52">
        <v>44956</v>
      </c>
      <c r="B30" s="27" t="s">
        <v>192</v>
      </c>
      <c r="C30" s="2" t="s">
        <v>810</v>
      </c>
      <c r="D30" s="2">
        <v>1</v>
      </c>
      <c r="E30" s="27" t="s">
        <v>135</v>
      </c>
      <c r="F30" t="s">
        <v>402</v>
      </c>
      <c r="G30" s="47"/>
      <c r="H30" s="54"/>
      <c r="I30" s="63" t="s">
        <v>1005</v>
      </c>
      <c r="J30" t="str">
        <f>CONCATENATE(Tabla1[[#This Row],[OBRA]],"/",Tabla1[[#This Row],[CODIGO ENSAYO]])</f>
        <v>10-2/1-9</v>
      </c>
      <c r="K30" s="2" t="str">
        <f>UPPER(TEXT(Tabla1[[#This Row],[FECHA INF]],"MMMM"))</f>
        <v>ENERO</v>
      </c>
      <c r="L3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0026-23</v>
      </c>
    </row>
    <row r="31" spans="1:12" hidden="1" x14ac:dyDescent="0.25">
      <c r="A31" s="52">
        <v>44956</v>
      </c>
      <c r="B31" s="27" t="s">
        <v>854</v>
      </c>
      <c r="C31" s="2" t="s">
        <v>864</v>
      </c>
      <c r="D31" s="2">
        <v>9</v>
      </c>
      <c r="E31" s="27" t="s">
        <v>123</v>
      </c>
      <c r="F31" t="s">
        <v>15</v>
      </c>
      <c r="G31" s="47"/>
      <c r="H31" s="54"/>
      <c r="I31" s="63" t="s">
        <v>1005</v>
      </c>
      <c r="J31" t="str">
        <f>CONCATENATE(Tabla1[[#This Row],[OBRA]],"/",Tabla1[[#This Row],[CODIGO ENSAYO]])</f>
        <v>8-1/1-1</v>
      </c>
      <c r="K31" s="2" t="str">
        <f>UPPER(TEXT(Tabla1[[#This Row],[FECHA INF]],"MMMM"))</f>
        <v>ENERO</v>
      </c>
      <c r="L3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0027-23</v>
      </c>
    </row>
    <row r="32" spans="1:12" hidden="1" x14ac:dyDescent="0.25">
      <c r="A32" s="52">
        <v>44956</v>
      </c>
      <c r="B32" s="27" t="s">
        <v>192</v>
      </c>
      <c r="C32" s="2" t="s">
        <v>811</v>
      </c>
      <c r="D32" s="2">
        <v>1</v>
      </c>
      <c r="E32" s="27" t="s">
        <v>135</v>
      </c>
      <c r="F32" t="s">
        <v>402</v>
      </c>
      <c r="G32" s="47"/>
      <c r="H32" s="54"/>
      <c r="I32" s="63" t="s">
        <v>1005</v>
      </c>
      <c r="J32" t="str">
        <f>CONCATENATE(Tabla1[[#This Row],[OBRA]],"/",Tabla1[[#This Row],[CODIGO ENSAYO]])</f>
        <v>10-2/1-9</v>
      </c>
      <c r="K32" s="2" t="str">
        <f>UPPER(TEXT(Tabla1[[#This Row],[FECHA INF]],"MMMM"))</f>
        <v>ENERO</v>
      </c>
      <c r="L3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0028-23</v>
      </c>
    </row>
    <row r="33" spans="1:12" hidden="1" x14ac:dyDescent="0.25">
      <c r="A33" s="52">
        <v>44956</v>
      </c>
      <c r="B33" s="27" t="s">
        <v>192</v>
      </c>
      <c r="C33" s="2" t="s">
        <v>812</v>
      </c>
      <c r="D33" s="2">
        <v>1</v>
      </c>
      <c r="E33" s="27" t="s">
        <v>135</v>
      </c>
      <c r="F33" t="s">
        <v>402</v>
      </c>
      <c r="G33" s="47"/>
      <c r="H33" s="54"/>
      <c r="I33" s="63" t="s">
        <v>1005</v>
      </c>
      <c r="J33" t="str">
        <f>CONCATENATE(Tabla1[[#This Row],[OBRA]],"/",Tabla1[[#This Row],[CODIGO ENSAYO]])</f>
        <v>10-2/1-9</v>
      </c>
      <c r="K33" s="2" t="str">
        <f>UPPER(TEXT(Tabla1[[#This Row],[FECHA INF]],"MMMM"))</f>
        <v>ENERO</v>
      </c>
      <c r="L3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0029-23</v>
      </c>
    </row>
    <row r="34" spans="1:12" hidden="1" x14ac:dyDescent="0.25">
      <c r="A34" s="52">
        <v>44956</v>
      </c>
      <c r="B34" s="27" t="s">
        <v>854</v>
      </c>
      <c r="C34" s="2" t="s">
        <v>865</v>
      </c>
      <c r="D34" s="2">
        <v>3</v>
      </c>
      <c r="E34" s="27" t="s">
        <v>123</v>
      </c>
      <c r="F34" t="s">
        <v>15</v>
      </c>
      <c r="G34" s="47"/>
      <c r="H34" s="54"/>
      <c r="I34" s="63" t="s">
        <v>1005</v>
      </c>
      <c r="J34" t="str">
        <f>CONCATENATE(Tabla1[[#This Row],[OBRA]],"/",Tabla1[[#This Row],[CODIGO ENSAYO]])</f>
        <v>8-1/1-1</v>
      </c>
      <c r="K34" s="2" t="str">
        <f>UPPER(TEXT(Tabla1[[#This Row],[FECHA INF]],"MMMM"))</f>
        <v>ENERO</v>
      </c>
      <c r="L3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0030-23</v>
      </c>
    </row>
    <row r="35" spans="1:12" hidden="1" x14ac:dyDescent="0.25">
      <c r="A35" s="52">
        <v>44956</v>
      </c>
      <c r="B35" s="27" t="s">
        <v>192</v>
      </c>
      <c r="C35" s="2" t="s">
        <v>813</v>
      </c>
      <c r="D35" s="2">
        <v>1</v>
      </c>
      <c r="E35" s="27" t="s">
        <v>135</v>
      </c>
      <c r="F35" t="s">
        <v>402</v>
      </c>
      <c r="G35" s="47"/>
      <c r="H35" s="54"/>
      <c r="I35" s="63" t="s">
        <v>1005</v>
      </c>
      <c r="J35" t="str">
        <f>CONCATENATE(Tabla1[[#This Row],[OBRA]],"/",Tabla1[[#This Row],[CODIGO ENSAYO]])</f>
        <v>10-2/1-9</v>
      </c>
      <c r="K35" s="2" t="str">
        <f>UPPER(TEXT(Tabla1[[#This Row],[FECHA INF]],"MMMM"))</f>
        <v>ENERO</v>
      </c>
      <c r="L3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0031-23</v>
      </c>
    </row>
    <row r="36" spans="1:12" hidden="1" x14ac:dyDescent="0.25">
      <c r="A36" s="52">
        <v>44956</v>
      </c>
      <c r="B36" s="27" t="s">
        <v>192</v>
      </c>
      <c r="C36" s="2" t="s">
        <v>814</v>
      </c>
      <c r="D36" s="2">
        <v>2</v>
      </c>
      <c r="E36" s="27" t="s">
        <v>135</v>
      </c>
      <c r="F36" t="s">
        <v>402</v>
      </c>
      <c r="G36" s="47"/>
      <c r="H36" s="54"/>
      <c r="I36" s="63" t="s">
        <v>1005</v>
      </c>
      <c r="J36" t="str">
        <f>CONCATENATE(Tabla1[[#This Row],[OBRA]],"/",Tabla1[[#This Row],[CODIGO ENSAYO]])</f>
        <v>10-2/1-9</v>
      </c>
      <c r="K36" s="2" t="str">
        <f>UPPER(TEXT(Tabla1[[#This Row],[FECHA INF]],"MMMM"))</f>
        <v>ENERO</v>
      </c>
      <c r="L3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0032-23</v>
      </c>
    </row>
    <row r="37" spans="1:12" hidden="1" x14ac:dyDescent="0.25">
      <c r="A37" s="52">
        <v>44956</v>
      </c>
      <c r="B37" s="27" t="s">
        <v>192</v>
      </c>
      <c r="C37" s="2" t="s">
        <v>815</v>
      </c>
      <c r="D37" s="2">
        <v>1</v>
      </c>
      <c r="E37" s="27" t="s">
        <v>135</v>
      </c>
      <c r="F37" t="s">
        <v>402</v>
      </c>
      <c r="G37" s="47"/>
      <c r="H37" s="54"/>
      <c r="I37" s="63" t="s">
        <v>1005</v>
      </c>
      <c r="J37" t="str">
        <f>CONCATENATE(Tabla1[[#This Row],[OBRA]],"/",Tabla1[[#This Row],[CODIGO ENSAYO]])</f>
        <v>10-2/1-9</v>
      </c>
      <c r="K37" s="2" t="str">
        <f>UPPER(TEXT(Tabla1[[#This Row],[FECHA INF]],"MMMM"))</f>
        <v>ENERO</v>
      </c>
      <c r="L3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0033-23</v>
      </c>
    </row>
    <row r="38" spans="1:12" hidden="1" x14ac:dyDescent="0.25">
      <c r="A38" s="52">
        <v>44956</v>
      </c>
      <c r="B38" s="27" t="s">
        <v>192</v>
      </c>
      <c r="C38" s="2" t="s">
        <v>816</v>
      </c>
      <c r="D38" s="2">
        <v>1</v>
      </c>
      <c r="E38" s="27" t="s">
        <v>135</v>
      </c>
      <c r="F38" t="s">
        <v>402</v>
      </c>
      <c r="G38" s="47"/>
      <c r="H38" s="54"/>
      <c r="I38" s="63" t="s">
        <v>1005</v>
      </c>
      <c r="J38" t="str">
        <f>CONCATENATE(Tabla1[[#This Row],[OBRA]],"/",Tabla1[[#This Row],[CODIGO ENSAYO]])</f>
        <v>10-2/1-9</v>
      </c>
      <c r="K38" s="2" t="str">
        <f>UPPER(TEXT(Tabla1[[#This Row],[FECHA INF]],"MMMM"))</f>
        <v>ENERO</v>
      </c>
      <c r="L3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0035-23</v>
      </c>
    </row>
    <row r="39" spans="1:12" hidden="1" x14ac:dyDescent="0.25">
      <c r="A39" s="52">
        <v>44956</v>
      </c>
      <c r="B39" s="27" t="s">
        <v>192</v>
      </c>
      <c r="C39" s="2" t="s">
        <v>817</v>
      </c>
      <c r="D39" s="2">
        <v>1</v>
      </c>
      <c r="E39" s="27" t="s">
        <v>135</v>
      </c>
      <c r="F39" t="s">
        <v>402</v>
      </c>
      <c r="G39" s="47"/>
      <c r="H39" s="54"/>
      <c r="I39" s="63" t="s">
        <v>1005</v>
      </c>
      <c r="J39" t="str">
        <f>CONCATENATE(Tabla1[[#This Row],[OBRA]],"/",Tabla1[[#This Row],[CODIGO ENSAYO]])</f>
        <v>10-2/1-9</v>
      </c>
      <c r="K39" s="2" t="str">
        <f>UPPER(TEXT(Tabla1[[#This Row],[FECHA INF]],"MMMM"))</f>
        <v>ENERO</v>
      </c>
      <c r="L3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0036-23</v>
      </c>
    </row>
    <row r="40" spans="1:12" hidden="1" x14ac:dyDescent="0.25">
      <c r="A40" s="52">
        <v>44956</v>
      </c>
      <c r="B40" s="27" t="s">
        <v>854</v>
      </c>
      <c r="C40" s="2" t="s">
        <v>866</v>
      </c>
      <c r="D40" s="2">
        <v>3</v>
      </c>
      <c r="E40" s="27" t="s">
        <v>123</v>
      </c>
      <c r="F40" t="s">
        <v>15</v>
      </c>
      <c r="G40" s="47"/>
      <c r="H40" s="54"/>
      <c r="I40" s="63" t="s">
        <v>1005</v>
      </c>
      <c r="J40" t="str">
        <f>CONCATENATE(Tabla1[[#This Row],[OBRA]],"/",Tabla1[[#This Row],[CODIGO ENSAYO]])</f>
        <v>8-1/1-1</v>
      </c>
      <c r="K40" s="2" t="str">
        <f>UPPER(TEXT(Tabla1[[#This Row],[FECHA INF]],"MMMM"))</f>
        <v>ENERO</v>
      </c>
      <c r="L4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0037-23</v>
      </c>
    </row>
    <row r="41" spans="1:12" hidden="1" x14ac:dyDescent="0.25">
      <c r="A41" s="52">
        <v>44956</v>
      </c>
      <c r="B41" s="27" t="s">
        <v>192</v>
      </c>
      <c r="C41" s="2" t="s">
        <v>818</v>
      </c>
      <c r="D41" s="2">
        <v>1</v>
      </c>
      <c r="E41" s="27" t="s">
        <v>135</v>
      </c>
      <c r="F41" t="s">
        <v>402</v>
      </c>
      <c r="G41" s="47"/>
      <c r="H41" s="54"/>
      <c r="I41" s="63" t="s">
        <v>1005</v>
      </c>
      <c r="J41" t="str">
        <f>CONCATENATE(Tabla1[[#This Row],[OBRA]],"/",Tabla1[[#This Row],[CODIGO ENSAYO]])</f>
        <v>10-2/1-9</v>
      </c>
      <c r="K41" s="2" t="str">
        <f>UPPER(TEXT(Tabla1[[#This Row],[FECHA INF]],"MMMM"))</f>
        <v>ENERO</v>
      </c>
      <c r="L4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0038-23</v>
      </c>
    </row>
    <row r="42" spans="1:12" hidden="1" x14ac:dyDescent="0.25">
      <c r="A42" s="52">
        <v>44956</v>
      </c>
      <c r="B42" s="27" t="s">
        <v>192</v>
      </c>
      <c r="C42" s="2" t="s">
        <v>819</v>
      </c>
      <c r="D42" s="2">
        <v>2</v>
      </c>
      <c r="E42" s="27" t="s">
        <v>135</v>
      </c>
      <c r="F42" t="s">
        <v>402</v>
      </c>
      <c r="G42" s="47"/>
      <c r="H42" s="54"/>
      <c r="I42" s="63" t="s">
        <v>1005</v>
      </c>
      <c r="J42" t="str">
        <f>CONCATENATE(Tabla1[[#This Row],[OBRA]],"/",Tabla1[[#This Row],[CODIGO ENSAYO]])</f>
        <v>10-2/1-9</v>
      </c>
      <c r="K42" s="2" t="str">
        <f>UPPER(TEXT(Tabla1[[#This Row],[FECHA INF]],"MMMM"))</f>
        <v>ENERO</v>
      </c>
      <c r="L4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0039-23</v>
      </c>
    </row>
    <row r="43" spans="1:12" hidden="1" x14ac:dyDescent="0.25">
      <c r="A43" s="52">
        <v>44956</v>
      </c>
      <c r="B43" s="27" t="s">
        <v>192</v>
      </c>
      <c r="C43" s="2" t="s">
        <v>820</v>
      </c>
      <c r="D43" s="2">
        <v>1</v>
      </c>
      <c r="E43" s="27" t="s">
        <v>135</v>
      </c>
      <c r="F43" t="s">
        <v>402</v>
      </c>
      <c r="G43" s="47"/>
      <c r="H43" s="54"/>
      <c r="I43" s="63" t="s">
        <v>1005</v>
      </c>
      <c r="J43" t="str">
        <f>CONCATENATE(Tabla1[[#This Row],[OBRA]],"/",Tabla1[[#This Row],[CODIGO ENSAYO]])</f>
        <v>10-2/1-9</v>
      </c>
      <c r="K43" s="2" t="str">
        <f>UPPER(TEXT(Tabla1[[#This Row],[FECHA INF]],"MMMM"))</f>
        <v>ENERO</v>
      </c>
      <c r="L4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0040-23</v>
      </c>
    </row>
    <row r="44" spans="1:12" hidden="1" x14ac:dyDescent="0.25">
      <c r="A44" s="52">
        <v>44956</v>
      </c>
      <c r="B44" s="27" t="s">
        <v>854</v>
      </c>
      <c r="C44" s="2" t="s">
        <v>867</v>
      </c>
      <c r="D44" s="2">
        <v>6</v>
      </c>
      <c r="E44" s="27" t="s">
        <v>123</v>
      </c>
      <c r="F44" t="s">
        <v>15</v>
      </c>
      <c r="G44" s="47"/>
      <c r="H44" s="54"/>
      <c r="I44" s="63" t="s">
        <v>1005</v>
      </c>
      <c r="J44" t="str">
        <f>CONCATENATE(Tabla1[[#This Row],[OBRA]],"/",Tabla1[[#This Row],[CODIGO ENSAYO]])</f>
        <v>8-1/1-1</v>
      </c>
      <c r="K44" s="2" t="str">
        <f>UPPER(TEXT(Tabla1[[#This Row],[FECHA INF]],"MMMM"))</f>
        <v>ENERO</v>
      </c>
      <c r="L4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0041-23</v>
      </c>
    </row>
    <row r="45" spans="1:12" hidden="1" x14ac:dyDescent="0.25">
      <c r="A45" s="52">
        <v>44956</v>
      </c>
      <c r="B45" s="27" t="s">
        <v>192</v>
      </c>
      <c r="C45" s="2" t="s">
        <v>821</v>
      </c>
      <c r="D45" s="2">
        <v>1</v>
      </c>
      <c r="E45" s="27" t="s">
        <v>135</v>
      </c>
      <c r="F45" t="s">
        <v>402</v>
      </c>
      <c r="G45" s="47"/>
      <c r="H45" s="54"/>
      <c r="I45" s="63" t="s">
        <v>1005</v>
      </c>
      <c r="J45" t="str">
        <f>CONCATENATE(Tabla1[[#This Row],[OBRA]],"/",Tabla1[[#This Row],[CODIGO ENSAYO]])</f>
        <v>10-2/1-9</v>
      </c>
      <c r="K45" s="2" t="str">
        <f>UPPER(TEXT(Tabla1[[#This Row],[FECHA INF]],"MMMM"))</f>
        <v>ENERO</v>
      </c>
      <c r="L4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0042-23</v>
      </c>
    </row>
    <row r="46" spans="1:12" hidden="1" x14ac:dyDescent="0.25">
      <c r="A46" s="52">
        <v>44956</v>
      </c>
      <c r="B46" s="27" t="s">
        <v>192</v>
      </c>
      <c r="C46" s="2" t="s">
        <v>822</v>
      </c>
      <c r="D46" s="2">
        <v>1</v>
      </c>
      <c r="E46" s="27" t="s">
        <v>135</v>
      </c>
      <c r="F46" t="s">
        <v>402</v>
      </c>
      <c r="G46" s="47"/>
      <c r="H46" s="54"/>
      <c r="I46" s="63" t="s">
        <v>1005</v>
      </c>
      <c r="J46" t="str">
        <f>CONCATENATE(Tabla1[[#This Row],[OBRA]],"/",Tabla1[[#This Row],[CODIGO ENSAYO]])</f>
        <v>10-2/1-9</v>
      </c>
      <c r="K46" s="2" t="str">
        <f>UPPER(TEXT(Tabla1[[#This Row],[FECHA INF]],"MMMM"))</f>
        <v>ENERO</v>
      </c>
      <c r="L4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0043-23</v>
      </c>
    </row>
    <row r="47" spans="1:12" hidden="1" x14ac:dyDescent="0.25">
      <c r="A47" s="52">
        <v>44956</v>
      </c>
      <c r="B47" s="27" t="s">
        <v>192</v>
      </c>
      <c r="C47" s="2" t="s">
        <v>823</v>
      </c>
      <c r="D47" s="2">
        <v>2</v>
      </c>
      <c r="E47" s="27" t="s">
        <v>135</v>
      </c>
      <c r="F47" t="s">
        <v>402</v>
      </c>
      <c r="G47" s="47"/>
      <c r="H47" s="54"/>
      <c r="I47" s="63" t="s">
        <v>1005</v>
      </c>
      <c r="J47" t="str">
        <f>CONCATENATE(Tabla1[[#This Row],[OBRA]],"/",Tabla1[[#This Row],[CODIGO ENSAYO]])</f>
        <v>10-2/1-9</v>
      </c>
      <c r="K47" s="2" t="str">
        <f>UPPER(TEXT(Tabla1[[#This Row],[FECHA INF]],"MMMM"))</f>
        <v>ENERO</v>
      </c>
      <c r="L4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0044-23</v>
      </c>
    </row>
    <row r="48" spans="1:12" hidden="1" x14ac:dyDescent="0.25">
      <c r="A48" s="52">
        <v>44956</v>
      </c>
      <c r="B48" s="27" t="s">
        <v>192</v>
      </c>
      <c r="C48" s="2" t="s">
        <v>824</v>
      </c>
      <c r="D48" s="2">
        <v>1</v>
      </c>
      <c r="E48" s="27" t="s">
        <v>135</v>
      </c>
      <c r="F48" t="s">
        <v>402</v>
      </c>
      <c r="G48" s="47"/>
      <c r="H48" s="54"/>
      <c r="I48" s="63" t="s">
        <v>1005</v>
      </c>
      <c r="J48" t="str">
        <f>CONCATENATE(Tabla1[[#This Row],[OBRA]],"/",Tabla1[[#This Row],[CODIGO ENSAYO]])</f>
        <v>10-2/1-9</v>
      </c>
      <c r="K48" s="2" t="str">
        <f>UPPER(TEXT(Tabla1[[#This Row],[FECHA INF]],"MMMM"))</f>
        <v>ENERO</v>
      </c>
      <c r="L4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0045-23</v>
      </c>
    </row>
    <row r="49" spans="1:12" hidden="1" x14ac:dyDescent="0.25">
      <c r="A49" s="52">
        <v>44956</v>
      </c>
      <c r="B49" s="27" t="s">
        <v>192</v>
      </c>
      <c r="C49" s="2" t="s">
        <v>825</v>
      </c>
      <c r="D49" s="2">
        <v>1</v>
      </c>
      <c r="E49" s="27" t="s">
        <v>135</v>
      </c>
      <c r="F49" t="s">
        <v>402</v>
      </c>
      <c r="G49" s="47"/>
      <c r="H49" s="54"/>
      <c r="I49" s="63" t="s">
        <v>1005</v>
      </c>
      <c r="J49" t="str">
        <f>CONCATENATE(Tabla1[[#This Row],[OBRA]],"/",Tabla1[[#This Row],[CODIGO ENSAYO]])</f>
        <v>10-2/1-9</v>
      </c>
      <c r="K49" s="2" t="str">
        <f>UPPER(TEXT(Tabla1[[#This Row],[FECHA INF]],"MMMM"))</f>
        <v>ENERO</v>
      </c>
      <c r="L4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0046-23</v>
      </c>
    </row>
    <row r="50" spans="1:12" hidden="1" x14ac:dyDescent="0.25">
      <c r="A50" s="52">
        <v>44956</v>
      </c>
      <c r="B50" s="27" t="s">
        <v>192</v>
      </c>
      <c r="C50" s="2" t="s">
        <v>826</v>
      </c>
      <c r="D50" s="2">
        <v>1</v>
      </c>
      <c r="E50" s="27" t="s">
        <v>135</v>
      </c>
      <c r="F50" t="s">
        <v>402</v>
      </c>
      <c r="G50" s="47"/>
      <c r="H50" s="54"/>
      <c r="I50" s="63" t="s">
        <v>1005</v>
      </c>
      <c r="J50" t="str">
        <f>CONCATENATE(Tabla1[[#This Row],[OBRA]],"/",Tabla1[[#This Row],[CODIGO ENSAYO]])</f>
        <v>10-2/1-9</v>
      </c>
      <c r="K50" s="2" t="str">
        <f>UPPER(TEXT(Tabla1[[#This Row],[FECHA INF]],"MMMM"))</f>
        <v>ENERO</v>
      </c>
      <c r="L5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0047-23</v>
      </c>
    </row>
    <row r="51" spans="1:12" hidden="1" x14ac:dyDescent="0.25">
      <c r="A51" s="52">
        <v>44956</v>
      </c>
      <c r="B51" s="27" t="s">
        <v>192</v>
      </c>
      <c r="C51" s="2" t="s">
        <v>827</v>
      </c>
      <c r="D51" s="2">
        <v>1</v>
      </c>
      <c r="E51" s="27" t="s">
        <v>135</v>
      </c>
      <c r="F51" t="s">
        <v>402</v>
      </c>
      <c r="G51" s="47"/>
      <c r="H51" s="54"/>
      <c r="I51" s="63" t="s">
        <v>1005</v>
      </c>
      <c r="J51" t="str">
        <f>CONCATENATE(Tabla1[[#This Row],[OBRA]],"/",Tabla1[[#This Row],[CODIGO ENSAYO]])</f>
        <v>10-2/1-9</v>
      </c>
      <c r="K51" s="2" t="str">
        <f>UPPER(TEXT(Tabla1[[#This Row],[FECHA INF]],"MMMM"))</f>
        <v>ENERO</v>
      </c>
      <c r="L5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0048-23</v>
      </c>
    </row>
    <row r="52" spans="1:12" hidden="1" x14ac:dyDescent="0.25">
      <c r="A52" s="52">
        <v>44956</v>
      </c>
      <c r="B52" s="27" t="s">
        <v>192</v>
      </c>
      <c r="C52" s="2" t="s">
        <v>828</v>
      </c>
      <c r="D52" s="2">
        <v>2</v>
      </c>
      <c r="E52" s="27" t="s">
        <v>135</v>
      </c>
      <c r="F52" t="s">
        <v>402</v>
      </c>
      <c r="G52" s="47"/>
      <c r="H52" s="54"/>
      <c r="I52" s="63" t="s">
        <v>1005</v>
      </c>
      <c r="J52" t="str">
        <f>CONCATENATE(Tabla1[[#This Row],[OBRA]],"/",Tabla1[[#This Row],[CODIGO ENSAYO]])</f>
        <v>10-2/1-9</v>
      </c>
      <c r="K52" s="2" t="str">
        <f>UPPER(TEXT(Tabla1[[#This Row],[FECHA INF]],"MMMM"))</f>
        <v>ENERO</v>
      </c>
      <c r="L5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0049-23</v>
      </c>
    </row>
    <row r="53" spans="1:12" hidden="1" x14ac:dyDescent="0.25">
      <c r="A53" s="52">
        <v>44956</v>
      </c>
      <c r="B53" s="27" t="s">
        <v>192</v>
      </c>
      <c r="C53" s="2" t="s">
        <v>829</v>
      </c>
      <c r="D53" s="2">
        <v>1</v>
      </c>
      <c r="E53" s="27" t="s">
        <v>135</v>
      </c>
      <c r="F53" t="s">
        <v>402</v>
      </c>
      <c r="G53" s="47"/>
      <c r="H53" s="54"/>
      <c r="I53" s="63" t="s">
        <v>1005</v>
      </c>
      <c r="J53" t="str">
        <f>CONCATENATE(Tabla1[[#This Row],[OBRA]],"/",Tabla1[[#This Row],[CODIGO ENSAYO]])</f>
        <v>10-2/1-9</v>
      </c>
      <c r="K53" s="2" t="str">
        <f>UPPER(TEXT(Tabla1[[#This Row],[FECHA INF]],"MMMM"))</f>
        <v>ENERO</v>
      </c>
      <c r="L5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0050-23</v>
      </c>
    </row>
    <row r="54" spans="1:12" hidden="1" x14ac:dyDescent="0.25">
      <c r="A54" s="52">
        <v>44956</v>
      </c>
      <c r="B54" s="27" t="s">
        <v>192</v>
      </c>
      <c r="C54" s="2" t="s">
        <v>832</v>
      </c>
      <c r="D54" s="2">
        <v>1</v>
      </c>
      <c r="E54" s="27" t="s">
        <v>135</v>
      </c>
      <c r="F54" t="s">
        <v>402</v>
      </c>
      <c r="G54" s="47"/>
      <c r="H54" s="54"/>
      <c r="I54" s="63" t="s">
        <v>1005</v>
      </c>
      <c r="J54" t="str">
        <f>CONCATENATE(Tabla1[[#This Row],[OBRA]],"/",Tabla1[[#This Row],[CODIGO ENSAYO]])</f>
        <v>10-2/1-9</v>
      </c>
      <c r="K54" s="2" t="str">
        <f>UPPER(TEXT(Tabla1[[#This Row],[FECHA INF]],"MMMM"))</f>
        <v>ENERO</v>
      </c>
      <c r="L5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0051-23</v>
      </c>
    </row>
    <row r="55" spans="1:12" hidden="1" x14ac:dyDescent="0.25">
      <c r="A55" s="52">
        <v>44956</v>
      </c>
      <c r="B55" s="27" t="s">
        <v>304</v>
      </c>
      <c r="C55" s="2" t="s">
        <v>869</v>
      </c>
      <c r="D55" s="2">
        <v>1</v>
      </c>
      <c r="E55" s="27" t="s">
        <v>137</v>
      </c>
      <c r="F55" t="s">
        <v>240</v>
      </c>
      <c r="G55" s="47"/>
      <c r="H55" s="54"/>
      <c r="I55" s="63" t="s">
        <v>1005</v>
      </c>
      <c r="J55" t="str">
        <f>CONCATENATE(Tabla1[[#This Row],[OBRA]],"/",Tabla1[[#This Row],[CODIGO ENSAYO]])</f>
        <v>15-1/2-1</v>
      </c>
      <c r="K55" s="2" t="str">
        <f>UPPER(TEXT(Tabla1[[#This Row],[FECHA INF]],"MMMM"))</f>
        <v>ENERO</v>
      </c>
      <c r="L5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0052-23</v>
      </c>
    </row>
    <row r="56" spans="1:12" hidden="1" x14ac:dyDescent="0.25">
      <c r="A56" s="52">
        <v>44956</v>
      </c>
      <c r="B56" s="27" t="s">
        <v>304</v>
      </c>
      <c r="C56" s="2" t="s">
        <v>869</v>
      </c>
      <c r="D56" s="2">
        <v>1</v>
      </c>
      <c r="E56" s="27" t="s">
        <v>138</v>
      </c>
      <c r="F56" t="s">
        <v>23</v>
      </c>
      <c r="G56" s="47"/>
      <c r="H56" s="54"/>
      <c r="I56" s="63" t="s">
        <v>1005</v>
      </c>
      <c r="J56" t="str">
        <f>CONCATENATE(Tabla1[[#This Row],[OBRA]],"/",Tabla1[[#This Row],[CODIGO ENSAYO]])</f>
        <v>15-1/2-2</v>
      </c>
      <c r="K56" s="2" t="str">
        <f>UPPER(TEXT(Tabla1[[#This Row],[FECHA INF]],"MMMM"))</f>
        <v>ENERO</v>
      </c>
      <c r="L5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0052-23</v>
      </c>
    </row>
    <row r="57" spans="1:12" hidden="1" x14ac:dyDescent="0.25">
      <c r="A57" s="52">
        <v>44956</v>
      </c>
      <c r="B57" s="27" t="s">
        <v>304</v>
      </c>
      <c r="C57" s="2" t="s">
        <v>869</v>
      </c>
      <c r="D57" s="2">
        <v>1</v>
      </c>
      <c r="E57" s="27" t="s">
        <v>139</v>
      </c>
      <c r="F57" t="s">
        <v>468</v>
      </c>
      <c r="G57" s="47"/>
      <c r="H57" s="54"/>
      <c r="I57" s="63" t="s">
        <v>1005</v>
      </c>
      <c r="J57" t="str">
        <f>CONCATENATE(Tabla1[[#This Row],[OBRA]],"/",Tabla1[[#This Row],[CODIGO ENSAYO]])</f>
        <v>15-1/2-3</v>
      </c>
      <c r="K57" s="2" t="str">
        <f>UPPER(TEXT(Tabla1[[#This Row],[FECHA INF]],"MMMM"))</f>
        <v>ENERO</v>
      </c>
      <c r="L5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0052-23</v>
      </c>
    </row>
    <row r="58" spans="1:12" hidden="1" x14ac:dyDescent="0.25">
      <c r="A58" s="52">
        <v>44956</v>
      </c>
      <c r="B58" s="27" t="s">
        <v>304</v>
      </c>
      <c r="C58" s="2" t="s">
        <v>870</v>
      </c>
      <c r="D58" s="2">
        <v>1</v>
      </c>
      <c r="E58" s="27" t="s">
        <v>137</v>
      </c>
      <c r="F58" t="s">
        <v>240</v>
      </c>
      <c r="G58" s="47"/>
      <c r="H58" s="54"/>
      <c r="I58" s="63" t="s">
        <v>1005</v>
      </c>
      <c r="J58" t="str">
        <f>CONCATENATE(Tabla1[[#This Row],[OBRA]],"/",Tabla1[[#This Row],[CODIGO ENSAYO]])</f>
        <v>15-1/2-1</v>
      </c>
      <c r="K58" s="2" t="str">
        <f>UPPER(TEXT(Tabla1[[#This Row],[FECHA INF]],"MMMM"))</f>
        <v>ENERO</v>
      </c>
      <c r="L5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0053-23</v>
      </c>
    </row>
    <row r="59" spans="1:12" hidden="1" x14ac:dyDescent="0.25">
      <c r="A59" s="52">
        <v>44956</v>
      </c>
      <c r="B59" s="27" t="s">
        <v>304</v>
      </c>
      <c r="C59" s="2" t="s">
        <v>870</v>
      </c>
      <c r="D59" s="2">
        <v>1</v>
      </c>
      <c r="E59" s="27" t="s">
        <v>138</v>
      </c>
      <c r="F59" t="s">
        <v>23</v>
      </c>
      <c r="G59" s="47"/>
      <c r="H59" s="54"/>
      <c r="I59" s="63" t="s">
        <v>1005</v>
      </c>
      <c r="J59" t="str">
        <f>CONCATENATE(Tabla1[[#This Row],[OBRA]],"/",Tabla1[[#This Row],[CODIGO ENSAYO]])</f>
        <v>15-1/2-2</v>
      </c>
      <c r="K59" s="2" t="str">
        <f>UPPER(TEXT(Tabla1[[#This Row],[FECHA INF]],"MMMM"))</f>
        <v>ENERO</v>
      </c>
      <c r="L5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0053-23</v>
      </c>
    </row>
    <row r="60" spans="1:12" hidden="1" x14ac:dyDescent="0.25">
      <c r="A60" s="52">
        <v>44956</v>
      </c>
      <c r="B60" s="27" t="s">
        <v>304</v>
      </c>
      <c r="C60" s="2" t="s">
        <v>870</v>
      </c>
      <c r="D60" s="2">
        <v>1</v>
      </c>
      <c r="E60" s="27" t="s">
        <v>139</v>
      </c>
      <c r="F60" t="s">
        <v>468</v>
      </c>
      <c r="G60" s="47"/>
      <c r="H60" s="54"/>
      <c r="I60" s="63" t="s">
        <v>1005</v>
      </c>
      <c r="J60" t="str">
        <f>CONCATENATE(Tabla1[[#This Row],[OBRA]],"/",Tabla1[[#This Row],[CODIGO ENSAYO]])</f>
        <v>15-1/2-3</v>
      </c>
      <c r="K60" s="2" t="str">
        <f>UPPER(TEXT(Tabla1[[#This Row],[FECHA INF]],"MMMM"))</f>
        <v>ENERO</v>
      </c>
      <c r="L6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0053-23</v>
      </c>
    </row>
    <row r="61" spans="1:12" hidden="1" x14ac:dyDescent="0.25">
      <c r="A61" s="52">
        <v>44956</v>
      </c>
      <c r="B61" s="27" t="s">
        <v>304</v>
      </c>
      <c r="C61" s="2" t="s">
        <v>871</v>
      </c>
      <c r="D61" s="2">
        <v>1</v>
      </c>
      <c r="E61" s="27" t="s">
        <v>137</v>
      </c>
      <c r="F61" t="s">
        <v>240</v>
      </c>
      <c r="G61" s="47"/>
      <c r="H61" s="54"/>
      <c r="I61" s="63" t="s">
        <v>1005</v>
      </c>
      <c r="J61" t="str">
        <f>CONCATENATE(Tabla1[[#This Row],[OBRA]],"/",Tabla1[[#This Row],[CODIGO ENSAYO]])</f>
        <v>15-1/2-1</v>
      </c>
      <c r="K61" s="2" t="str">
        <f>UPPER(TEXT(Tabla1[[#This Row],[FECHA INF]],"MMMM"))</f>
        <v>ENERO</v>
      </c>
      <c r="L6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0054-23</v>
      </c>
    </row>
    <row r="62" spans="1:12" hidden="1" x14ac:dyDescent="0.25">
      <c r="A62" s="52">
        <v>44956</v>
      </c>
      <c r="B62" s="27" t="s">
        <v>304</v>
      </c>
      <c r="C62" s="2" t="s">
        <v>871</v>
      </c>
      <c r="D62" s="2">
        <v>1</v>
      </c>
      <c r="E62" s="27" t="s">
        <v>138</v>
      </c>
      <c r="F62" t="s">
        <v>23</v>
      </c>
      <c r="G62" s="47"/>
      <c r="H62" s="54"/>
      <c r="I62" s="63" t="s">
        <v>1005</v>
      </c>
      <c r="J62" t="str">
        <f>CONCATENATE(Tabla1[[#This Row],[OBRA]],"/",Tabla1[[#This Row],[CODIGO ENSAYO]])</f>
        <v>15-1/2-2</v>
      </c>
      <c r="K62" s="2" t="str">
        <f>UPPER(TEXT(Tabla1[[#This Row],[FECHA INF]],"MMMM"))</f>
        <v>ENERO</v>
      </c>
      <c r="L6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0054-23</v>
      </c>
    </row>
    <row r="63" spans="1:12" hidden="1" x14ac:dyDescent="0.25">
      <c r="A63" s="52">
        <v>44956</v>
      </c>
      <c r="B63" s="27" t="s">
        <v>304</v>
      </c>
      <c r="C63" s="2" t="s">
        <v>871</v>
      </c>
      <c r="D63" s="2">
        <v>1</v>
      </c>
      <c r="E63" s="27" t="s">
        <v>139</v>
      </c>
      <c r="F63" t="s">
        <v>468</v>
      </c>
      <c r="G63" s="47"/>
      <c r="H63" s="54"/>
      <c r="I63" s="63" t="s">
        <v>1005</v>
      </c>
      <c r="J63" t="str">
        <f>CONCATENATE(Tabla1[[#This Row],[OBRA]],"/",Tabla1[[#This Row],[CODIGO ENSAYO]])</f>
        <v>15-1/2-3</v>
      </c>
      <c r="K63" s="2" t="str">
        <f>UPPER(TEXT(Tabla1[[#This Row],[FECHA INF]],"MMMM"))</f>
        <v>ENERO</v>
      </c>
      <c r="L6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0054-23</v>
      </c>
    </row>
    <row r="64" spans="1:12" hidden="1" x14ac:dyDescent="0.25">
      <c r="A64" s="52">
        <v>44956</v>
      </c>
      <c r="B64" s="27" t="s">
        <v>304</v>
      </c>
      <c r="C64" s="2" t="s">
        <v>872</v>
      </c>
      <c r="D64" s="2">
        <v>1</v>
      </c>
      <c r="E64" s="27" t="s">
        <v>137</v>
      </c>
      <c r="F64" t="s">
        <v>240</v>
      </c>
      <c r="G64" s="47"/>
      <c r="H64" s="54"/>
      <c r="I64" s="63" t="s">
        <v>1005</v>
      </c>
      <c r="J64" t="str">
        <f>CONCATENATE(Tabla1[[#This Row],[OBRA]],"/",Tabla1[[#This Row],[CODIGO ENSAYO]])</f>
        <v>15-1/2-1</v>
      </c>
      <c r="K64" s="2" t="str">
        <f>UPPER(TEXT(Tabla1[[#This Row],[FECHA INF]],"MMMM"))</f>
        <v>ENERO</v>
      </c>
      <c r="L6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0055-23</v>
      </c>
    </row>
    <row r="65" spans="1:12" hidden="1" x14ac:dyDescent="0.25">
      <c r="A65" s="52">
        <v>44956</v>
      </c>
      <c r="B65" s="27" t="s">
        <v>304</v>
      </c>
      <c r="C65" s="2" t="s">
        <v>872</v>
      </c>
      <c r="D65" s="2">
        <v>1</v>
      </c>
      <c r="E65" s="27" t="s">
        <v>138</v>
      </c>
      <c r="F65" t="s">
        <v>23</v>
      </c>
      <c r="G65" s="47"/>
      <c r="H65" s="54"/>
      <c r="I65" s="63" t="s">
        <v>1005</v>
      </c>
      <c r="J65" t="str">
        <f>CONCATENATE(Tabla1[[#This Row],[OBRA]],"/",Tabla1[[#This Row],[CODIGO ENSAYO]])</f>
        <v>15-1/2-2</v>
      </c>
      <c r="K65" s="2" t="str">
        <f>UPPER(TEXT(Tabla1[[#This Row],[FECHA INF]],"MMMM"))</f>
        <v>ENERO</v>
      </c>
      <c r="L6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0055-23</v>
      </c>
    </row>
    <row r="66" spans="1:12" hidden="1" x14ac:dyDescent="0.25">
      <c r="A66" s="52">
        <v>44956</v>
      </c>
      <c r="B66" s="27" t="s">
        <v>304</v>
      </c>
      <c r="C66" s="2" t="s">
        <v>872</v>
      </c>
      <c r="D66" s="2">
        <v>1</v>
      </c>
      <c r="E66" s="27" t="s">
        <v>139</v>
      </c>
      <c r="F66" t="s">
        <v>468</v>
      </c>
      <c r="G66" s="47"/>
      <c r="H66" s="54"/>
      <c r="I66" s="63" t="s">
        <v>1005</v>
      </c>
      <c r="J66" t="str">
        <f>CONCATENATE(Tabla1[[#This Row],[OBRA]],"/",Tabla1[[#This Row],[CODIGO ENSAYO]])</f>
        <v>15-1/2-3</v>
      </c>
      <c r="K66" s="2" t="str">
        <f>UPPER(TEXT(Tabla1[[#This Row],[FECHA INF]],"MMMM"))</f>
        <v>ENERO</v>
      </c>
      <c r="L6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0055-23</v>
      </c>
    </row>
    <row r="67" spans="1:12" hidden="1" x14ac:dyDescent="0.25">
      <c r="A67" s="52">
        <v>44956</v>
      </c>
      <c r="B67" s="27" t="s">
        <v>304</v>
      </c>
      <c r="C67" s="2" t="s">
        <v>873</v>
      </c>
      <c r="D67" s="2">
        <v>1</v>
      </c>
      <c r="E67" s="27" t="s">
        <v>137</v>
      </c>
      <c r="F67" t="s">
        <v>240</v>
      </c>
      <c r="G67" s="47"/>
      <c r="H67" s="54"/>
      <c r="I67" s="63" t="s">
        <v>1005</v>
      </c>
      <c r="J67" t="str">
        <f>CONCATENATE(Tabla1[[#This Row],[OBRA]],"/",Tabla1[[#This Row],[CODIGO ENSAYO]])</f>
        <v>15-1/2-1</v>
      </c>
      <c r="K67" s="2" t="str">
        <f>UPPER(TEXT(Tabla1[[#This Row],[FECHA INF]],"MMMM"))</f>
        <v>ENERO</v>
      </c>
      <c r="L6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0056-23</v>
      </c>
    </row>
    <row r="68" spans="1:12" hidden="1" x14ac:dyDescent="0.25">
      <c r="A68" s="52">
        <v>44956</v>
      </c>
      <c r="B68" s="27" t="s">
        <v>304</v>
      </c>
      <c r="C68" s="2" t="s">
        <v>873</v>
      </c>
      <c r="D68" s="2">
        <v>1</v>
      </c>
      <c r="E68" s="27" t="s">
        <v>138</v>
      </c>
      <c r="F68" t="s">
        <v>23</v>
      </c>
      <c r="G68" s="47"/>
      <c r="H68" s="54"/>
      <c r="I68" s="63" t="s">
        <v>1005</v>
      </c>
      <c r="J68" t="str">
        <f>CONCATENATE(Tabla1[[#This Row],[OBRA]],"/",Tabla1[[#This Row],[CODIGO ENSAYO]])</f>
        <v>15-1/2-2</v>
      </c>
      <c r="K68" s="2" t="str">
        <f>UPPER(TEXT(Tabla1[[#This Row],[FECHA INF]],"MMMM"))</f>
        <v>ENERO</v>
      </c>
      <c r="L6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0056-23</v>
      </c>
    </row>
    <row r="69" spans="1:12" hidden="1" x14ac:dyDescent="0.25">
      <c r="A69" s="52">
        <v>44956</v>
      </c>
      <c r="B69" s="27" t="s">
        <v>304</v>
      </c>
      <c r="C69" s="2" t="s">
        <v>873</v>
      </c>
      <c r="D69" s="2">
        <v>1</v>
      </c>
      <c r="E69" s="27" t="s">
        <v>139</v>
      </c>
      <c r="F69" t="s">
        <v>468</v>
      </c>
      <c r="G69" s="47"/>
      <c r="H69" s="54"/>
      <c r="I69" s="63" t="s">
        <v>1005</v>
      </c>
      <c r="J69" t="str">
        <f>CONCATENATE(Tabla1[[#This Row],[OBRA]],"/",Tabla1[[#This Row],[CODIGO ENSAYO]])</f>
        <v>15-1/2-3</v>
      </c>
      <c r="K69" s="2" t="str">
        <f>UPPER(TEXT(Tabla1[[#This Row],[FECHA INF]],"MMMM"))</f>
        <v>ENERO</v>
      </c>
      <c r="L6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0056-23</v>
      </c>
    </row>
    <row r="70" spans="1:12" hidden="1" x14ac:dyDescent="0.25">
      <c r="A70" s="52">
        <v>44956</v>
      </c>
      <c r="B70" s="27" t="s">
        <v>304</v>
      </c>
      <c r="C70" s="2" t="s">
        <v>874</v>
      </c>
      <c r="D70" s="2">
        <v>1</v>
      </c>
      <c r="E70" s="27" t="s">
        <v>137</v>
      </c>
      <c r="F70" t="s">
        <v>240</v>
      </c>
      <c r="G70" s="47"/>
      <c r="H70" s="54"/>
      <c r="I70" s="63" t="s">
        <v>1005</v>
      </c>
      <c r="J70" t="str">
        <f>CONCATENATE(Tabla1[[#This Row],[OBRA]],"/",Tabla1[[#This Row],[CODIGO ENSAYO]])</f>
        <v>15-1/2-1</v>
      </c>
      <c r="K70" s="2" t="str">
        <f>UPPER(TEXT(Tabla1[[#This Row],[FECHA INF]],"MMMM"))</f>
        <v>ENERO</v>
      </c>
      <c r="L7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0057-23</v>
      </c>
    </row>
    <row r="71" spans="1:12" hidden="1" x14ac:dyDescent="0.25">
      <c r="A71" s="52">
        <v>44956</v>
      </c>
      <c r="B71" s="27" t="s">
        <v>304</v>
      </c>
      <c r="C71" s="2" t="s">
        <v>874</v>
      </c>
      <c r="D71" s="2">
        <v>1</v>
      </c>
      <c r="E71" s="27" t="s">
        <v>138</v>
      </c>
      <c r="F71" t="s">
        <v>23</v>
      </c>
      <c r="G71" s="47"/>
      <c r="H71" s="54"/>
      <c r="I71" s="63" t="s">
        <v>1005</v>
      </c>
      <c r="J71" t="str">
        <f>CONCATENATE(Tabla1[[#This Row],[OBRA]],"/",Tabla1[[#This Row],[CODIGO ENSAYO]])</f>
        <v>15-1/2-2</v>
      </c>
      <c r="K71" s="2" t="str">
        <f>UPPER(TEXT(Tabla1[[#This Row],[FECHA INF]],"MMMM"))</f>
        <v>ENERO</v>
      </c>
      <c r="L7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0057-23</v>
      </c>
    </row>
    <row r="72" spans="1:12" hidden="1" x14ac:dyDescent="0.25">
      <c r="A72" s="52">
        <v>44956</v>
      </c>
      <c r="B72" s="27" t="s">
        <v>304</v>
      </c>
      <c r="C72" s="2" t="s">
        <v>874</v>
      </c>
      <c r="D72" s="2">
        <v>1</v>
      </c>
      <c r="E72" s="27" t="s">
        <v>139</v>
      </c>
      <c r="F72" t="s">
        <v>468</v>
      </c>
      <c r="G72" s="47"/>
      <c r="H72" s="54"/>
      <c r="I72" s="63" t="s">
        <v>1005</v>
      </c>
      <c r="J72" t="str">
        <f>CONCATENATE(Tabla1[[#This Row],[OBRA]],"/",Tabla1[[#This Row],[CODIGO ENSAYO]])</f>
        <v>15-1/2-3</v>
      </c>
      <c r="K72" s="2" t="str">
        <f>UPPER(TEXT(Tabla1[[#This Row],[FECHA INF]],"MMMM"))</f>
        <v>ENERO</v>
      </c>
      <c r="L7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0057-23</v>
      </c>
    </row>
    <row r="73" spans="1:12" hidden="1" x14ac:dyDescent="0.25">
      <c r="A73" s="52">
        <v>44956</v>
      </c>
      <c r="B73" s="27" t="s">
        <v>304</v>
      </c>
      <c r="C73" s="2" t="s">
        <v>875</v>
      </c>
      <c r="D73" s="2">
        <v>1</v>
      </c>
      <c r="E73" s="27" t="s">
        <v>137</v>
      </c>
      <c r="F73" t="s">
        <v>240</v>
      </c>
      <c r="G73" s="47"/>
      <c r="H73" s="54"/>
      <c r="I73" s="63" t="s">
        <v>1005</v>
      </c>
      <c r="J73" t="str">
        <f>CONCATENATE(Tabla1[[#This Row],[OBRA]],"/",Tabla1[[#This Row],[CODIGO ENSAYO]])</f>
        <v>15-1/2-1</v>
      </c>
      <c r="K73" s="2" t="str">
        <f>UPPER(TEXT(Tabla1[[#This Row],[FECHA INF]],"MMMM"))</f>
        <v>ENERO</v>
      </c>
      <c r="L7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0058-23</v>
      </c>
    </row>
    <row r="74" spans="1:12" hidden="1" x14ac:dyDescent="0.25">
      <c r="A74" s="52">
        <v>44956</v>
      </c>
      <c r="B74" s="27" t="s">
        <v>304</v>
      </c>
      <c r="C74" s="2" t="s">
        <v>875</v>
      </c>
      <c r="D74" s="2">
        <v>1</v>
      </c>
      <c r="E74" s="27" t="s">
        <v>138</v>
      </c>
      <c r="F74" t="s">
        <v>23</v>
      </c>
      <c r="G74" s="47"/>
      <c r="H74" s="54"/>
      <c r="I74" s="63" t="s">
        <v>1005</v>
      </c>
      <c r="J74" t="str">
        <f>CONCATENATE(Tabla1[[#This Row],[OBRA]],"/",Tabla1[[#This Row],[CODIGO ENSAYO]])</f>
        <v>15-1/2-2</v>
      </c>
      <c r="K74" s="2" t="str">
        <f>UPPER(TEXT(Tabla1[[#This Row],[FECHA INF]],"MMMM"))</f>
        <v>ENERO</v>
      </c>
      <c r="L7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0058-23</v>
      </c>
    </row>
    <row r="75" spans="1:12" hidden="1" x14ac:dyDescent="0.25">
      <c r="A75" s="52">
        <v>44956</v>
      </c>
      <c r="B75" s="27" t="s">
        <v>304</v>
      </c>
      <c r="C75" s="2" t="s">
        <v>875</v>
      </c>
      <c r="D75" s="2">
        <v>1</v>
      </c>
      <c r="E75" s="27" t="s">
        <v>139</v>
      </c>
      <c r="F75" t="s">
        <v>468</v>
      </c>
      <c r="G75" s="47"/>
      <c r="H75" s="54"/>
      <c r="I75" s="63" t="s">
        <v>1005</v>
      </c>
      <c r="J75" t="str">
        <f>CONCATENATE(Tabla1[[#This Row],[OBRA]],"/",Tabla1[[#This Row],[CODIGO ENSAYO]])</f>
        <v>15-1/2-3</v>
      </c>
      <c r="K75" s="2" t="str">
        <f>UPPER(TEXT(Tabla1[[#This Row],[FECHA INF]],"MMMM"))</f>
        <v>ENERO</v>
      </c>
      <c r="L7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0058-23</v>
      </c>
    </row>
    <row r="76" spans="1:12" hidden="1" x14ac:dyDescent="0.25">
      <c r="A76" s="52">
        <v>44956</v>
      </c>
      <c r="B76" s="27" t="s">
        <v>304</v>
      </c>
      <c r="C76" s="2" t="s">
        <v>876</v>
      </c>
      <c r="D76" s="2">
        <v>1</v>
      </c>
      <c r="E76" s="27" t="s">
        <v>137</v>
      </c>
      <c r="F76" t="s">
        <v>240</v>
      </c>
      <c r="G76" s="47"/>
      <c r="H76" s="54"/>
      <c r="I76" s="63" t="s">
        <v>1005</v>
      </c>
      <c r="J76" t="str">
        <f>CONCATENATE(Tabla1[[#This Row],[OBRA]],"/",Tabla1[[#This Row],[CODIGO ENSAYO]])</f>
        <v>15-1/2-1</v>
      </c>
      <c r="K76" s="2" t="str">
        <f>UPPER(TEXT(Tabla1[[#This Row],[FECHA INF]],"MMMM"))</f>
        <v>ENERO</v>
      </c>
      <c r="L7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0059-23</v>
      </c>
    </row>
    <row r="77" spans="1:12" hidden="1" x14ac:dyDescent="0.25">
      <c r="A77" s="52">
        <v>44956</v>
      </c>
      <c r="B77" s="27" t="s">
        <v>304</v>
      </c>
      <c r="C77" s="2" t="s">
        <v>876</v>
      </c>
      <c r="D77" s="2">
        <v>1</v>
      </c>
      <c r="E77" s="27" t="s">
        <v>138</v>
      </c>
      <c r="F77" t="s">
        <v>23</v>
      </c>
      <c r="G77" s="47"/>
      <c r="H77" s="54"/>
      <c r="I77" s="63" t="s">
        <v>1005</v>
      </c>
      <c r="J77" t="str">
        <f>CONCATENATE(Tabla1[[#This Row],[OBRA]],"/",Tabla1[[#This Row],[CODIGO ENSAYO]])</f>
        <v>15-1/2-2</v>
      </c>
      <c r="K77" s="2" t="str">
        <f>UPPER(TEXT(Tabla1[[#This Row],[FECHA INF]],"MMMM"))</f>
        <v>ENERO</v>
      </c>
      <c r="L7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0059-23</v>
      </c>
    </row>
    <row r="78" spans="1:12" hidden="1" x14ac:dyDescent="0.25">
      <c r="A78" s="52">
        <v>44956</v>
      </c>
      <c r="B78" s="27" t="s">
        <v>304</v>
      </c>
      <c r="C78" s="2" t="s">
        <v>876</v>
      </c>
      <c r="D78" s="2">
        <v>1</v>
      </c>
      <c r="E78" s="27" t="s">
        <v>139</v>
      </c>
      <c r="F78" t="s">
        <v>468</v>
      </c>
      <c r="G78" s="47"/>
      <c r="H78" s="54"/>
      <c r="I78" s="63" t="s">
        <v>1005</v>
      </c>
      <c r="J78" t="str">
        <f>CONCATENATE(Tabla1[[#This Row],[OBRA]],"/",Tabla1[[#This Row],[CODIGO ENSAYO]])</f>
        <v>15-1/2-3</v>
      </c>
      <c r="K78" s="2" t="str">
        <f>UPPER(TEXT(Tabla1[[#This Row],[FECHA INF]],"MMMM"))</f>
        <v>ENERO</v>
      </c>
      <c r="L7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0059-23</v>
      </c>
    </row>
    <row r="79" spans="1:12" hidden="1" x14ac:dyDescent="0.25">
      <c r="A79" s="52">
        <v>44956</v>
      </c>
      <c r="B79" s="27" t="s">
        <v>304</v>
      </c>
      <c r="C79" s="2" t="s">
        <v>877</v>
      </c>
      <c r="D79" s="2">
        <v>1</v>
      </c>
      <c r="E79" s="27" t="s">
        <v>137</v>
      </c>
      <c r="F79" t="s">
        <v>240</v>
      </c>
      <c r="G79" s="47"/>
      <c r="H79" s="54"/>
      <c r="I79" s="63" t="s">
        <v>1005</v>
      </c>
      <c r="J79" t="str">
        <f>CONCATENATE(Tabla1[[#This Row],[OBRA]],"/",Tabla1[[#This Row],[CODIGO ENSAYO]])</f>
        <v>15-1/2-1</v>
      </c>
      <c r="K79" s="2" t="str">
        <f>UPPER(TEXT(Tabla1[[#This Row],[FECHA INF]],"MMMM"))</f>
        <v>ENERO</v>
      </c>
      <c r="L7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0060-23</v>
      </c>
    </row>
    <row r="80" spans="1:12" hidden="1" x14ac:dyDescent="0.25">
      <c r="A80" s="52">
        <v>44956</v>
      </c>
      <c r="B80" s="27" t="s">
        <v>304</v>
      </c>
      <c r="C80" s="2" t="s">
        <v>877</v>
      </c>
      <c r="D80" s="2">
        <v>1</v>
      </c>
      <c r="E80" s="27" t="s">
        <v>138</v>
      </c>
      <c r="F80" t="s">
        <v>23</v>
      </c>
      <c r="G80" s="47"/>
      <c r="H80" s="54"/>
      <c r="I80" s="63" t="s">
        <v>1005</v>
      </c>
      <c r="J80" t="str">
        <f>CONCATENATE(Tabla1[[#This Row],[OBRA]],"/",Tabla1[[#This Row],[CODIGO ENSAYO]])</f>
        <v>15-1/2-2</v>
      </c>
      <c r="K80" s="2" t="str">
        <f>UPPER(TEXT(Tabla1[[#This Row],[FECHA INF]],"MMMM"))</f>
        <v>ENERO</v>
      </c>
      <c r="L8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0060-23</v>
      </c>
    </row>
    <row r="81" spans="1:12" hidden="1" x14ac:dyDescent="0.25">
      <c r="A81" s="52">
        <v>44956</v>
      </c>
      <c r="B81" s="27" t="s">
        <v>304</v>
      </c>
      <c r="C81" s="2" t="s">
        <v>877</v>
      </c>
      <c r="D81" s="2">
        <v>1</v>
      </c>
      <c r="E81" s="27" t="s">
        <v>139</v>
      </c>
      <c r="F81" t="s">
        <v>468</v>
      </c>
      <c r="G81" s="47"/>
      <c r="H81" s="54"/>
      <c r="I81" s="63" t="s">
        <v>1005</v>
      </c>
      <c r="J81" t="str">
        <f>CONCATENATE(Tabla1[[#This Row],[OBRA]],"/",Tabla1[[#This Row],[CODIGO ENSAYO]])</f>
        <v>15-1/2-3</v>
      </c>
      <c r="K81" s="2" t="str">
        <f>UPPER(TEXT(Tabla1[[#This Row],[FECHA INF]],"MMMM"))</f>
        <v>ENERO</v>
      </c>
      <c r="L8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0060-23</v>
      </c>
    </row>
    <row r="82" spans="1:12" hidden="1" x14ac:dyDescent="0.25">
      <c r="A82" s="52">
        <v>44956</v>
      </c>
      <c r="B82" s="27" t="s">
        <v>854</v>
      </c>
      <c r="C82" s="2" t="s">
        <v>868</v>
      </c>
      <c r="D82" s="2">
        <v>6</v>
      </c>
      <c r="E82" s="27" t="s">
        <v>123</v>
      </c>
      <c r="F82" t="s">
        <v>15</v>
      </c>
      <c r="G82" s="47"/>
      <c r="H82" s="54"/>
      <c r="I82" s="63" t="s">
        <v>1005</v>
      </c>
      <c r="J82" t="str">
        <f>CONCATENATE(Tabla1[[#This Row],[OBRA]],"/",Tabla1[[#This Row],[CODIGO ENSAYO]])</f>
        <v>8-1/1-1</v>
      </c>
      <c r="K82" s="2" t="str">
        <f>UPPER(TEXT(Tabla1[[#This Row],[FECHA INF]],"MMMM"))</f>
        <v>ENERO</v>
      </c>
      <c r="L8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0061-23</v>
      </c>
    </row>
    <row r="83" spans="1:12" hidden="1" x14ac:dyDescent="0.25">
      <c r="A83" s="52">
        <v>44956</v>
      </c>
      <c r="B83" s="27" t="s">
        <v>192</v>
      </c>
      <c r="C83" s="2" t="s">
        <v>833</v>
      </c>
      <c r="D83" s="2">
        <v>3</v>
      </c>
      <c r="E83" s="27" t="s">
        <v>135</v>
      </c>
      <c r="F83" t="s">
        <v>402</v>
      </c>
      <c r="G83" s="47"/>
      <c r="H83" s="54"/>
      <c r="I83" s="63" t="s">
        <v>1005</v>
      </c>
      <c r="J83" t="str">
        <f>CONCATENATE(Tabla1[[#This Row],[OBRA]],"/",Tabla1[[#This Row],[CODIGO ENSAYO]])</f>
        <v>10-2/1-9</v>
      </c>
      <c r="K83" s="2" t="str">
        <f>UPPER(TEXT(Tabla1[[#This Row],[FECHA INF]],"MMMM"))</f>
        <v>ENERO</v>
      </c>
      <c r="L8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0062-23</v>
      </c>
    </row>
    <row r="84" spans="1:12" hidden="1" x14ac:dyDescent="0.25">
      <c r="A84" s="52">
        <v>44956</v>
      </c>
      <c r="B84" s="27" t="s">
        <v>192</v>
      </c>
      <c r="C84" s="2" t="s">
        <v>834</v>
      </c>
      <c r="D84" s="2">
        <v>1</v>
      </c>
      <c r="E84" s="27" t="s">
        <v>135</v>
      </c>
      <c r="F84" t="s">
        <v>402</v>
      </c>
      <c r="G84" s="47"/>
      <c r="H84" s="54"/>
      <c r="I84" s="63" t="s">
        <v>1005</v>
      </c>
      <c r="J84" t="str">
        <f>CONCATENATE(Tabla1[[#This Row],[OBRA]],"/",Tabla1[[#This Row],[CODIGO ENSAYO]])</f>
        <v>10-2/1-9</v>
      </c>
      <c r="K84" s="2" t="str">
        <f>UPPER(TEXT(Tabla1[[#This Row],[FECHA INF]],"MMMM"))</f>
        <v>ENERO</v>
      </c>
      <c r="L8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0063-23</v>
      </c>
    </row>
    <row r="85" spans="1:12" hidden="1" x14ac:dyDescent="0.25">
      <c r="A85" s="52">
        <v>44956</v>
      </c>
      <c r="B85" s="27" t="s">
        <v>192</v>
      </c>
      <c r="C85" s="2" t="s">
        <v>835</v>
      </c>
      <c r="D85" s="2">
        <v>2</v>
      </c>
      <c r="E85" s="27" t="s">
        <v>135</v>
      </c>
      <c r="F85" t="s">
        <v>402</v>
      </c>
      <c r="G85" s="47"/>
      <c r="H85" s="54"/>
      <c r="I85" s="63" t="s">
        <v>1005</v>
      </c>
      <c r="J85" t="str">
        <f>CONCATENATE(Tabla1[[#This Row],[OBRA]],"/",Tabla1[[#This Row],[CODIGO ENSAYO]])</f>
        <v>10-2/1-9</v>
      </c>
      <c r="K85" s="2" t="str">
        <f>UPPER(TEXT(Tabla1[[#This Row],[FECHA INF]],"MMMM"))</f>
        <v>ENERO</v>
      </c>
      <c r="L8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0064-23</v>
      </c>
    </row>
    <row r="86" spans="1:12" hidden="1" x14ac:dyDescent="0.25">
      <c r="A86" s="52">
        <v>44956</v>
      </c>
      <c r="B86" s="27" t="s">
        <v>192</v>
      </c>
      <c r="C86" s="2" t="s">
        <v>836</v>
      </c>
      <c r="D86" s="2">
        <v>1</v>
      </c>
      <c r="E86" s="27" t="s">
        <v>135</v>
      </c>
      <c r="F86" t="s">
        <v>402</v>
      </c>
      <c r="G86" s="47"/>
      <c r="H86" s="54"/>
      <c r="I86" s="63" t="s">
        <v>1005</v>
      </c>
      <c r="J86" t="str">
        <f>CONCATENATE(Tabla1[[#This Row],[OBRA]],"/",Tabla1[[#This Row],[CODIGO ENSAYO]])</f>
        <v>10-2/1-9</v>
      </c>
      <c r="K86" s="2" t="str">
        <f>UPPER(TEXT(Tabla1[[#This Row],[FECHA INF]],"MMMM"))</f>
        <v>ENERO</v>
      </c>
      <c r="L8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0065-23</v>
      </c>
    </row>
    <row r="87" spans="1:12" hidden="1" x14ac:dyDescent="0.25">
      <c r="A87" s="52">
        <v>44956</v>
      </c>
      <c r="B87" s="27" t="s">
        <v>192</v>
      </c>
      <c r="C87" s="2" t="s">
        <v>837</v>
      </c>
      <c r="D87" s="2">
        <v>1</v>
      </c>
      <c r="E87" s="27" t="s">
        <v>135</v>
      </c>
      <c r="F87" t="s">
        <v>402</v>
      </c>
      <c r="G87" s="47"/>
      <c r="H87" s="54"/>
      <c r="I87" s="63" t="s">
        <v>1005</v>
      </c>
      <c r="J87" t="str">
        <f>CONCATENATE(Tabla1[[#This Row],[OBRA]],"/",Tabla1[[#This Row],[CODIGO ENSAYO]])</f>
        <v>10-2/1-9</v>
      </c>
      <c r="K87" s="2" t="str">
        <f>UPPER(TEXT(Tabla1[[#This Row],[FECHA INF]],"MMMM"))</f>
        <v>ENERO</v>
      </c>
      <c r="L8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0066-23</v>
      </c>
    </row>
    <row r="88" spans="1:12" hidden="1" x14ac:dyDescent="0.25">
      <c r="A88" s="52">
        <v>44956</v>
      </c>
      <c r="B88" s="27" t="s">
        <v>192</v>
      </c>
      <c r="C88" s="2" t="s">
        <v>838</v>
      </c>
      <c r="D88" s="2">
        <v>4</v>
      </c>
      <c r="E88" s="27" t="s">
        <v>135</v>
      </c>
      <c r="F88" t="s">
        <v>402</v>
      </c>
      <c r="G88" s="47"/>
      <c r="H88" s="54"/>
      <c r="I88" s="63" t="s">
        <v>1005</v>
      </c>
      <c r="J88" t="str">
        <f>CONCATENATE(Tabla1[[#This Row],[OBRA]],"/",Tabla1[[#This Row],[CODIGO ENSAYO]])</f>
        <v>10-2/1-9</v>
      </c>
      <c r="K88" s="2" t="str">
        <f>UPPER(TEXT(Tabla1[[#This Row],[FECHA INF]],"MMMM"))</f>
        <v>ENERO</v>
      </c>
      <c r="L8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0067-23</v>
      </c>
    </row>
    <row r="89" spans="1:12" hidden="1" x14ac:dyDescent="0.25">
      <c r="A89" s="52">
        <v>44956</v>
      </c>
      <c r="B89" s="27" t="s">
        <v>192</v>
      </c>
      <c r="C89" s="2" t="s">
        <v>839</v>
      </c>
      <c r="D89" s="2">
        <v>1</v>
      </c>
      <c r="E89" s="27" t="s">
        <v>135</v>
      </c>
      <c r="F89" t="s">
        <v>402</v>
      </c>
      <c r="G89" s="47"/>
      <c r="H89" s="54"/>
      <c r="I89" s="63" t="s">
        <v>1005</v>
      </c>
      <c r="J89" t="str">
        <f>CONCATENATE(Tabla1[[#This Row],[OBRA]],"/",Tabla1[[#This Row],[CODIGO ENSAYO]])</f>
        <v>10-2/1-9</v>
      </c>
      <c r="K89" s="2" t="str">
        <f>UPPER(TEXT(Tabla1[[#This Row],[FECHA INF]],"MMMM"))</f>
        <v>ENERO</v>
      </c>
      <c r="L8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0068-23</v>
      </c>
    </row>
    <row r="90" spans="1:12" hidden="1" x14ac:dyDescent="0.25">
      <c r="A90" s="52">
        <v>44956</v>
      </c>
      <c r="B90" s="27" t="s">
        <v>192</v>
      </c>
      <c r="C90" s="2" t="s">
        <v>840</v>
      </c>
      <c r="D90" s="2">
        <v>1</v>
      </c>
      <c r="E90" s="27" t="s">
        <v>135</v>
      </c>
      <c r="F90" t="s">
        <v>402</v>
      </c>
      <c r="G90" s="47"/>
      <c r="H90" s="54"/>
      <c r="I90" s="63" t="s">
        <v>1005</v>
      </c>
      <c r="J90" t="str">
        <f>CONCATENATE(Tabla1[[#This Row],[OBRA]],"/",Tabla1[[#This Row],[CODIGO ENSAYO]])</f>
        <v>10-2/1-9</v>
      </c>
      <c r="K90" s="2" t="str">
        <f>UPPER(TEXT(Tabla1[[#This Row],[FECHA INF]],"MMMM"))</f>
        <v>ENERO</v>
      </c>
      <c r="L9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0071-23</v>
      </c>
    </row>
    <row r="91" spans="1:12" hidden="1" x14ac:dyDescent="0.25">
      <c r="A91" s="52">
        <v>44956</v>
      </c>
      <c r="B91" s="27" t="s">
        <v>192</v>
      </c>
      <c r="C91" s="2" t="s">
        <v>841</v>
      </c>
      <c r="D91" s="2">
        <v>1</v>
      </c>
      <c r="E91" s="27" t="s">
        <v>135</v>
      </c>
      <c r="F91" t="s">
        <v>402</v>
      </c>
      <c r="G91" s="47"/>
      <c r="H91" s="54"/>
      <c r="I91" s="63" t="s">
        <v>1005</v>
      </c>
      <c r="J91" t="str">
        <f>CONCATENATE(Tabla1[[#This Row],[OBRA]],"/",Tabla1[[#This Row],[CODIGO ENSAYO]])</f>
        <v>10-2/1-9</v>
      </c>
      <c r="K91" s="2" t="str">
        <f>UPPER(TEXT(Tabla1[[#This Row],[FECHA INF]],"MMMM"))</f>
        <v>ENERO</v>
      </c>
      <c r="L9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0072-23</v>
      </c>
    </row>
    <row r="92" spans="1:12" hidden="1" x14ac:dyDescent="0.25">
      <c r="A92" s="52">
        <v>44956</v>
      </c>
      <c r="B92" s="27" t="s">
        <v>192</v>
      </c>
      <c r="C92" s="2" t="s">
        <v>842</v>
      </c>
      <c r="D92" s="2">
        <v>1</v>
      </c>
      <c r="E92" s="27" t="s">
        <v>135</v>
      </c>
      <c r="F92" t="s">
        <v>402</v>
      </c>
      <c r="G92" s="47"/>
      <c r="H92" s="54"/>
      <c r="I92" s="63" t="s">
        <v>1005</v>
      </c>
      <c r="J92" t="str">
        <f>CONCATENATE(Tabla1[[#This Row],[OBRA]],"/",Tabla1[[#This Row],[CODIGO ENSAYO]])</f>
        <v>10-2/1-9</v>
      </c>
      <c r="K92" s="2" t="str">
        <f>UPPER(TEXT(Tabla1[[#This Row],[FECHA INF]],"MMMM"))</f>
        <v>ENERO</v>
      </c>
      <c r="L9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0073-23</v>
      </c>
    </row>
    <row r="93" spans="1:12" hidden="1" x14ac:dyDescent="0.25">
      <c r="A93" s="52">
        <v>44956</v>
      </c>
      <c r="B93" s="27" t="s">
        <v>192</v>
      </c>
      <c r="C93" s="2" t="s">
        <v>843</v>
      </c>
      <c r="D93" s="2">
        <v>1</v>
      </c>
      <c r="E93" s="27" t="s">
        <v>135</v>
      </c>
      <c r="F93" t="s">
        <v>402</v>
      </c>
      <c r="G93" s="47"/>
      <c r="H93" s="54"/>
      <c r="I93" s="63" t="s">
        <v>1005</v>
      </c>
      <c r="J93" t="str">
        <f>CONCATENATE(Tabla1[[#This Row],[OBRA]],"/",Tabla1[[#This Row],[CODIGO ENSAYO]])</f>
        <v>10-2/1-9</v>
      </c>
      <c r="K93" s="2" t="str">
        <f>UPPER(TEXT(Tabla1[[#This Row],[FECHA INF]],"MMMM"))</f>
        <v>ENERO</v>
      </c>
      <c r="L9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0074-23</v>
      </c>
    </row>
    <row r="94" spans="1:12" hidden="1" x14ac:dyDescent="0.25">
      <c r="A94" s="52">
        <v>44956</v>
      </c>
      <c r="B94" s="27" t="s">
        <v>192</v>
      </c>
      <c r="C94" s="2" t="s">
        <v>844</v>
      </c>
      <c r="D94" s="2">
        <v>1</v>
      </c>
      <c r="E94" s="27" t="s">
        <v>135</v>
      </c>
      <c r="F94" t="s">
        <v>402</v>
      </c>
      <c r="G94" s="47"/>
      <c r="H94" s="54"/>
      <c r="I94" s="63" t="s">
        <v>1005</v>
      </c>
      <c r="J94" t="str">
        <f>CONCATENATE(Tabla1[[#This Row],[OBRA]],"/",Tabla1[[#This Row],[CODIGO ENSAYO]])</f>
        <v>10-2/1-9</v>
      </c>
      <c r="K94" s="2" t="str">
        <f>UPPER(TEXT(Tabla1[[#This Row],[FECHA INF]],"MMMM"))</f>
        <v>ENERO</v>
      </c>
      <c r="L9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0075-23</v>
      </c>
    </row>
    <row r="95" spans="1:12" hidden="1" x14ac:dyDescent="0.25">
      <c r="A95" s="52">
        <v>44956</v>
      </c>
      <c r="B95" s="27" t="s">
        <v>192</v>
      </c>
      <c r="C95" s="2" t="s">
        <v>845</v>
      </c>
      <c r="D95" s="2">
        <v>2</v>
      </c>
      <c r="E95" s="27" t="s">
        <v>135</v>
      </c>
      <c r="F95" t="s">
        <v>402</v>
      </c>
      <c r="G95" s="47"/>
      <c r="H95" s="54"/>
      <c r="I95" s="63" t="s">
        <v>1005</v>
      </c>
      <c r="J95" t="str">
        <f>CONCATENATE(Tabla1[[#This Row],[OBRA]],"/",Tabla1[[#This Row],[CODIGO ENSAYO]])</f>
        <v>10-2/1-9</v>
      </c>
      <c r="K95" s="2" t="str">
        <f>UPPER(TEXT(Tabla1[[#This Row],[FECHA INF]],"MMMM"))</f>
        <v>ENERO</v>
      </c>
      <c r="L9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0076-23</v>
      </c>
    </row>
    <row r="96" spans="1:12" hidden="1" x14ac:dyDescent="0.25">
      <c r="A96" s="52">
        <v>44956</v>
      </c>
      <c r="B96" s="27" t="s">
        <v>192</v>
      </c>
      <c r="C96" s="2" t="s">
        <v>846</v>
      </c>
      <c r="D96" s="2">
        <v>1</v>
      </c>
      <c r="E96" s="27" t="s">
        <v>135</v>
      </c>
      <c r="F96" t="s">
        <v>402</v>
      </c>
      <c r="G96" s="47"/>
      <c r="H96" s="54"/>
      <c r="I96" s="63" t="s">
        <v>1005</v>
      </c>
      <c r="J96" t="str">
        <f>CONCATENATE(Tabla1[[#This Row],[OBRA]],"/",Tabla1[[#This Row],[CODIGO ENSAYO]])</f>
        <v>10-2/1-9</v>
      </c>
      <c r="K96" s="2" t="str">
        <f>UPPER(TEXT(Tabla1[[#This Row],[FECHA INF]],"MMMM"))</f>
        <v>ENERO</v>
      </c>
      <c r="L9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0077-23</v>
      </c>
    </row>
    <row r="97" spans="1:12" hidden="1" x14ac:dyDescent="0.25">
      <c r="A97" s="52">
        <v>44956</v>
      </c>
      <c r="B97" s="27" t="s">
        <v>192</v>
      </c>
      <c r="C97" s="2" t="s">
        <v>847</v>
      </c>
      <c r="D97" s="2">
        <v>1</v>
      </c>
      <c r="E97" s="27" t="s">
        <v>135</v>
      </c>
      <c r="F97" t="s">
        <v>402</v>
      </c>
      <c r="G97" s="47"/>
      <c r="H97" s="54"/>
      <c r="I97" s="63" t="s">
        <v>1005</v>
      </c>
      <c r="J97" t="str">
        <f>CONCATENATE(Tabla1[[#This Row],[OBRA]],"/",Tabla1[[#This Row],[CODIGO ENSAYO]])</f>
        <v>10-2/1-9</v>
      </c>
      <c r="K97" s="2" t="str">
        <f>UPPER(TEXT(Tabla1[[#This Row],[FECHA INF]],"MMMM"))</f>
        <v>ENERO</v>
      </c>
      <c r="L9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0078-23</v>
      </c>
    </row>
    <row r="98" spans="1:12" hidden="1" x14ac:dyDescent="0.25">
      <c r="A98" s="52">
        <v>44956</v>
      </c>
      <c r="B98" s="27" t="s">
        <v>192</v>
      </c>
      <c r="C98" s="2" t="s">
        <v>848</v>
      </c>
      <c r="D98" s="2">
        <v>1</v>
      </c>
      <c r="E98" s="27" t="s">
        <v>135</v>
      </c>
      <c r="F98" t="s">
        <v>402</v>
      </c>
      <c r="G98" s="47"/>
      <c r="H98" s="54"/>
      <c r="I98" s="63" t="s">
        <v>1005</v>
      </c>
      <c r="J98" t="str">
        <f>CONCATENATE(Tabla1[[#This Row],[OBRA]],"/",Tabla1[[#This Row],[CODIGO ENSAYO]])</f>
        <v>10-2/1-9</v>
      </c>
      <c r="K98" s="2" t="str">
        <f>UPPER(TEXT(Tabla1[[#This Row],[FECHA INF]],"MMMM"))</f>
        <v>ENERO</v>
      </c>
      <c r="L9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0079-23</v>
      </c>
    </row>
    <row r="99" spans="1:12" hidden="1" x14ac:dyDescent="0.25">
      <c r="A99" s="52">
        <v>44956</v>
      </c>
      <c r="B99" s="27" t="s">
        <v>192</v>
      </c>
      <c r="C99" s="2" t="s">
        <v>849</v>
      </c>
      <c r="D99" s="2">
        <v>1</v>
      </c>
      <c r="E99" s="27" t="s">
        <v>135</v>
      </c>
      <c r="F99" t="s">
        <v>402</v>
      </c>
      <c r="G99" s="47"/>
      <c r="H99" s="54"/>
      <c r="I99" s="63" t="s">
        <v>1005</v>
      </c>
      <c r="J99" t="str">
        <f>CONCATENATE(Tabla1[[#This Row],[OBRA]],"/",Tabla1[[#This Row],[CODIGO ENSAYO]])</f>
        <v>10-2/1-9</v>
      </c>
      <c r="K99" s="2" t="str">
        <f>UPPER(TEXT(Tabla1[[#This Row],[FECHA INF]],"MMMM"))</f>
        <v>ENERO</v>
      </c>
      <c r="L9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0080-23</v>
      </c>
    </row>
    <row r="100" spans="1:12" hidden="1" x14ac:dyDescent="0.25">
      <c r="A100" s="52">
        <v>44956</v>
      </c>
      <c r="B100" s="27" t="s">
        <v>304</v>
      </c>
      <c r="C100" s="2" t="s">
        <v>878</v>
      </c>
      <c r="D100" s="2">
        <v>1</v>
      </c>
      <c r="E100" s="27" t="s">
        <v>137</v>
      </c>
      <c r="F100" t="s">
        <v>240</v>
      </c>
      <c r="G100" s="47"/>
      <c r="H100" s="54"/>
      <c r="I100" s="63" t="s">
        <v>1005</v>
      </c>
      <c r="J100" t="str">
        <f>CONCATENATE(Tabla1[[#This Row],[OBRA]],"/",Tabla1[[#This Row],[CODIGO ENSAYO]])</f>
        <v>15-1/2-1</v>
      </c>
      <c r="K100" s="2" t="str">
        <f>UPPER(TEXT(Tabla1[[#This Row],[FECHA INF]],"MMMM"))</f>
        <v>ENERO</v>
      </c>
      <c r="L10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0081-23</v>
      </c>
    </row>
    <row r="101" spans="1:12" hidden="1" x14ac:dyDescent="0.25">
      <c r="A101" s="52">
        <v>44956</v>
      </c>
      <c r="B101" s="27" t="s">
        <v>304</v>
      </c>
      <c r="C101" s="2" t="s">
        <v>878</v>
      </c>
      <c r="D101" s="2">
        <v>1</v>
      </c>
      <c r="E101" s="27" t="s">
        <v>138</v>
      </c>
      <c r="F101" t="s">
        <v>23</v>
      </c>
      <c r="G101" s="47"/>
      <c r="H101" s="54"/>
      <c r="I101" s="63" t="s">
        <v>1005</v>
      </c>
      <c r="J101" t="str">
        <f>CONCATENATE(Tabla1[[#This Row],[OBRA]],"/",Tabla1[[#This Row],[CODIGO ENSAYO]])</f>
        <v>15-1/2-2</v>
      </c>
      <c r="K101" s="2" t="str">
        <f>UPPER(TEXT(Tabla1[[#This Row],[FECHA INF]],"MMMM"))</f>
        <v>ENERO</v>
      </c>
      <c r="L10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0081-23</v>
      </c>
    </row>
    <row r="102" spans="1:12" hidden="1" x14ac:dyDescent="0.25">
      <c r="A102" s="52">
        <v>44956</v>
      </c>
      <c r="B102" s="27" t="s">
        <v>304</v>
      </c>
      <c r="C102" s="2" t="s">
        <v>878</v>
      </c>
      <c r="D102" s="2">
        <v>1</v>
      </c>
      <c r="E102" s="27" t="s">
        <v>139</v>
      </c>
      <c r="F102" t="s">
        <v>468</v>
      </c>
      <c r="G102" s="47"/>
      <c r="H102" s="54"/>
      <c r="I102" s="63" t="s">
        <v>1005</v>
      </c>
      <c r="J102" t="str">
        <f>CONCATENATE(Tabla1[[#This Row],[OBRA]],"/",Tabla1[[#This Row],[CODIGO ENSAYO]])</f>
        <v>15-1/2-3</v>
      </c>
      <c r="K102" s="2" t="str">
        <f>UPPER(TEXT(Tabla1[[#This Row],[FECHA INF]],"MMMM"))</f>
        <v>ENERO</v>
      </c>
      <c r="L10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0081-23</v>
      </c>
    </row>
    <row r="103" spans="1:12" hidden="1" x14ac:dyDescent="0.25">
      <c r="A103" s="52">
        <v>44956</v>
      </c>
      <c r="B103" s="27" t="s">
        <v>192</v>
      </c>
      <c r="C103" s="2" t="s">
        <v>850</v>
      </c>
      <c r="D103" s="2">
        <v>1</v>
      </c>
      <c r="E103" s="27" t="s">
        <v>135</v>
      </c>
      <c r="F103" t="s">
        <v>402</v>
      </c>
      <c r="G103" s="47"/>
      <c r="H103" s="54"/>
      <c r="I103" s="63" t="s">
        <v>1005</v>
      </c>
      <c r="J103" t="str">
        <f>CONCATENATE(Tabla1[[#This Row],[OBRA]],"/",Tabla1[[#This Row],[CODIGO ENSAYO]])</f>
        <v>10-2/1-9</v>
      </c>
      <c r="K103" s="2" t="str">
        <f>UPPER(TEXT(Tabla1[[#This Row],[FECHA INF]],"MMMM"))</f>
        <v>ENERO</v>
      </c>
      <c r="L10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0082-23</v>
      </c>
    </row>
    <row r="104" spans="1:12" hidden="1" x14ac:dyDescent="0.25">
      <c r="A104" s="52">
        <v>44956</v>
      </c>
      <c r="B104" s="27" t="s">
        <v>192</v>
      </c>
      <c r="C104" s="2" t="s">
        <v>851</v>
      </c>
      <c r="D104" s="2">
        <v>1</v>
      </c>
      <c r="E104" s="27" t="s">
        <v>135</v>
      </c>
      <c r="F104" t="s">
        <v>402</v>
      </c>
      <c r="G104" s="47"/>
      <c r="H104" s="54"/>
      <c r="I104" s="63" t="s">
        <v>1005</v>
      </c>
      <c r="J104" t="str">
        <f>CONCATENATE(Tabla1[[#This Row],[OBRA]],"/",Tabla1[[#This Row],[CODIGO ENSAYO]])</f>
        <v>10-2/1-9</v>
      </c>
      <c r="K104" s="2" t="str">
        <f>UPPER(TEXT(Tabla1[[#This Row],[FECHA INF]],"MMMM"))</f>
        <v>ENERO</v>
      </c>
      <c r="L10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0083-23</v>
      </c>
    </row>
    <row r="105" spans="1:12" hidden="1" x14ac:dyDescent="0.25">
      <c r="A105" s="52">
        <v>44956</v>
      </c>
      <c r="B105" s="27" t="s">
        <v>192</v>
      </c>
      <c r="C105" s="2" t="s">
        <v>852</v>
      </c>
      <c r="D105" s="2">
        <v>1</v>
      </c>
      <c r="E105" s="27" t="s">
        <v>135</v>
      </c>
      <c r="F105" t="s">
        <v>402</v>
      </c>
      <c r="G105" s="47"/>
      <c r="H105" s="54"/>
      <c r="I105" s="63" t="s">
        <v>1005</v>
      </c>
      <c r="J105" t="str">
        <f>CONCATENATE(Tabla1[[#This Row],[OBRA]],"/",Tabla1[[#This Row],[CODIGO ENSAYO]])</f>
        <v>10-2/1-9</v>
      </c>
      <c r="K105" s="2" t="str">
        <f>UPPER(TEXT(Tabla1[[#This Row],[FECHA INF]],"MMMM"))</f>
        <v>ENERO</v>
      </c>
      <c r="L10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0084-23</v>
      </c>
    </row>
    <row r="106" spans="1:12" hidden="1" x14ac:dyDescent="0.25">
      <c r="A106" s="52">
        <v>44956</v>
      </c>
      <c r="B106" s="27" t="s">
        <v>192</v>
      </c>
      <c r="C106" s="2" t="s">
        <v>853</v>
      </c>
      <c r="D106" s="2">
        <v>1</v>
      </c>
      <c r="E106" s="27" t="s">
        <v>135</v>
      </c>
      <c r="F106" t="s">
        <v>402</v>
      </c>
      <c r="G106" s="47"/>
      <c r="H106" s="54"/>
      <c r="I106" s="63" t="s">
        <v>1005</v>
      </c>
      <c r="J106" t="str">
        <f>CONCATENATE(Tabla1[[#This Row],[OBRA]],"/",Tabla1[[#This Row],[CODIGO ENSAYO]])</f>
        <v>10-2/1-9</v>
      </c>
      <c r="K106" s="2" t="str">
        <f>UPPER(TEXT(Tabla1[[#This Row],[FECHA INF]],"MMMM"))</f>
        <v>ENERO</v>
      </c>
      <c r="L10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0085-23</v>
      </c>
    </row>
    <row r="107" spans="1:12" hidden="1" x14ac:dyDescent="0.25">
      <c r="A107" s="52">
        <v>44985</v>
      </c>
      <c r="B107" s="27" t="s">
        <v>192</v>
      </c>
      <c r="C107" s="2" t="s">
        <v>920</v>
      </c>
      <c r="D107" s="2">
        <v>420</v>
      </c>
      <c r="E107" s="27" t="s">
        <v>881</v>
      </c>
      <c r="F107" t="s">
        <v>792</v>
      </c>
      <c r="G107" s="47"/>
      <c r="H107" s="54"/>
      <c r="I107" s="63" t="s">
        <v>1005</v>
      </c>
      <c r="J107" t="str">
        <f>CONCATENATE(Tabla1[[#This Row],[OBRA]],"/",Tabla1[[#This Row],[CODIGO ENSAYO]])</f>
        <v>10-2/8-4a</v>
      </c>
      <c r="K107" s="2" t="str">
        <f>UPPER(TEXT(Tabla1[[#This Row],[FECHA INF]],"MMMM"))</f>
        <v>FEBRERO</v>
      </c>
      <c r="L10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(2023-02-01 al 28)</v>
      </c>
    </row>
    <row r="108" spans="1:12" hidden="1" x14ac:dyDescent="0.25">
      <c r="A108" s="52">
        <v>44985</v>
      </c>
      <c r="B108" s="27" t="s">
        <v>522</v>
      </c>
      <c r="C108" s="2" t="s">
        <v>925</v>
      </c>
      <c r="D108" s="2">
        <v>3</v>
      </c>
      <c r="E108" s="27" t="s">
        <v>175</v>
      </c>
      <c r="F108" t="s">
        <v>390</v>
      </c>
      <c r="G108" s="47"/>
      <c r="H108" s="54"/>
      <c r="I108" s="63" t="s">
        <v>1005</v>
      </c>
      <c r="J108" t="str">
        <f>CONCATENATE(Tabla1[[#This Row],[OBRA]],"/",Tabla1[[#This Row],[CODIGO ENSAYO]])</f>
        <v>17-1/7-1</v>
      </c>
      <c r="K108" s="2" t="str">
        <f>UPPER(TEXT(Tabla1[[#This Row],[FECHA INF]],"MMMM"))</f>
        <v>FEBRERO</v>
      </c>
      <c r="L10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(2023-02-12-27-28)</v>
      </c>
    </row>
    <row r="109" spans="1:12" hidden="1" x14ac:dyDescent="0.25">
      <c r="A109" s="52">
        <v>44985</v>
      </c>
      <c r="B109" s="27" t="s">
        <v>192</v>
      </c>
      <c r="C109" s="2" t="s">
        <v>919</v>
      </c>
      <c r="D109" s="2">
        <v>1</v>
      </c>
      <c r="E109" s="27" t="s">
        <v>175</v>
      </c>
      <c r="F109" t="s">
        <v>390</v>
      </c>
      <c r="G109" s="47"/>
      <c r="H109" s="54"/>
      <c r="I109" s="63" t="s">
        <v>1005</v>
      </c>
      <c r="J109" t="str">
        <f>CONCATENATE(Tabla1[[#This Row],[OBRA]],"/",Tabla1[[#This Row],[CODIGO ENSAYO]])</f>
        <v>10-2/7-1</v>
      </c>
      <c r="K109" s="2" t="str">
        <f>UPPER(TEXT(Tabla1[[#This Row],[FECHA INF]],"MMMM"))</f>
        <v>FEBRERO</v>
      </c>
      <c r="L10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(2023-02-17)</v>
      </c>
    </row>
    <row r="110" spans="1:12" hidden="1" x14ac:dyDescent="0.25">
      <c r="A110" s="52">
        <v>44985</v>
      </c>
      <c r="B110" s="27" t="s">
        <v>192</v>
      </c>
      <c r="C110" s="2" t="s">
        <v>921</v>
      </c>
      <c r="D110" s="2">
        <v>2</v>
      </c>
      <c r="E110" s="27" t="s">
        <v>141</v>
      </c>
      <c r="F110" t="s">
        <v>437</v>
      </c>
      <c r="G110" s="47"/>
      <c r="H110" s="54"/>
      <c r="I110" s="63" t="s">
        <v>1005</v>
      </c>
      <c r="J110" t="str">
        <f>CONCATENATE(Tabla1[[#This Row],[OBRA]],"/",Tabla1[[#This Row],[CODIGO ENSAYO]])</f>
        <v>10-2/2-5</v>
      </c>
      <c r="K110" s="2" t="str">
        <f>UPPER(TEXT(Tabla1[[#This Row],[FECHA INF]],"MMMM"))</f>
        <v>FEBRERO</v>
      </c>
      <c r="L11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003-23</v>
      </c>
    </row>
    <row r="111" spans="1:12" hidden="1" x14ac:dyDescent="0.25">
      <c r="A111" s="52">
        <v>44985</v>
      </c>
      <c r="B111" s="27" t="s">
        <v>192</v>
      </c>
      <c r="C111" s="2" t="s">
        <v>922</v>
      </c>
      <c r="D111" s="2">
        <v>2</v>
      </c>
      <c r="E111" s="27" t="s">
        <v>141</v>
      </c>
      <c r="F111" t="s">
        <v>437</v>
      </c>
      <c r="G111" s="47"/>
      <c r="H111" s="54"/>
      <c r="I111" s="63" t="s">
        <v>1005</v>
      </c>
      <c r="J111" t="str">
        <f>CONCATENATE(Tabla1[[#This Row],[OBRA]],"/",Tabla1[[#This Row],[CODIGO ENSAYO]])</f>
        <v>10-2/2-5</v>
      </c>
      <c r="K111" s="2" t="str">
        <f>UPPER(TEXT(Tabla1[[#This Row],[FECHA INF]],"MMMM"))</f>
        <v>FEBRERO</v>
      </c>
      <c r="L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004-23</v>
      </c>
    </row>
    <row r="112" spans="1:12" hidden="1" x14ac:dyDescent="0.25">
      <c r="A112" s="52">
        <v>44985</v>
      </c>
      <c r="B112" s="27" t="s">
        <v>192</v>
      </c>
      <c r="C112" s="2" t="s">
        <v>923</v>
      </c>
      <c r="D112" s="2">
        <v>2</v>
      </c>
      <c r="E112" s="27" t="s">
        <v>141</v>
      </c>
      <c r="F112" t="s">
        <v>437</v>
      </c>
      <c r="G112" s="47"/>
      <c r="H112" s="54"/>
      <c r="I112" s="63" t="s">
        <v>1005</v>
      </c>
      <c r="J112" t="str">
        <f>CONCATENATE(Tabla1[[#This Row],[OBRA]],"/",Tabla1[[#This Row],[CODIGO ENSAYO]])</f>
        <v>10-2/2-5</v>
      </c>
      <c r="K112" s="2" t="str">
        <f>UPPER(TEXT(Tabla1[[#This Row],[FECHA INF]],"MMMM"))</f>
        <v>FEBRERO</v>
      </c>
      <c r="L11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034-23</v>
      </c>
    </row>
    <row r="113" spans="1:12" hidden="1" x14ac:dyDescent="0.25">
      <c r="A113" s="52">
        <v>44985</v>
      </c>
      <c r="B113" s="27" t="s">
        <v>522</v>
      </c>
      <c r="C113" s="2" t="s">
        <v>926</v>
      </c>
      <c r="D113" s="2">
        <v>2</v>
      </c>
      <c r="E113" s="27" t="s">
        <v>123</v>
      </c>
      <c r="F113" t="s">
        <v>15</v>
      </c>
      <c r="G113" s="47"/>
      <c r="H113" s="54"/>
      <c r="I113" s="63" t="s">
        <v>1005</v>
      </c>
      <c r="J113" t="str">
        <f>CONCATENATE(Tabla1[[#This Row],[OBRA]],"/",Tabla1[[#This Row],[CODIGO ENSAYO]])</f>
        <v>17-1/1-1</v>
      </c>
      <c r="K113" s="2" t="str">
        <f>UPPER(TEXT(Tabla1[[#This Row],[FECHA INF]],"MMMM"))</f>
        <v>FEBRERO</v>
      </c>
      <c r="L11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070-23</v>
      </c>
    </row>
    <row r="114" spans="1:12" hidden="1" x14ac:dyDescent="0.25">
      <c r="A114" s="52">
        <v>44985</v>
      </c>
      <c r="B114" s="27" t="s">
        <v>192</v>
      </c>
      <c r="C114" s="2" t="s">
        <v>933</v>
      </c>
      <c r="D114" s="2">
        <v>2</v>
      </c>
      <c r="E114" s="27" t="s">
        <v>135</v>
      </c>
      <c r="F114" t="s">
        <v>402</v>
      </c>
      <c r="G114" s="47"/>
      <c r="H114" s="54"/>
      <c r="I114" s="63" t="s">
        <v>1005</v>
      </c>
      <c r="J114" t="str">
        <f>CONCATENATE(Tabla1[[#This Row],[OBRA]],"/",Tabla1[[#This Row],[CODIGO ENSAYO]])</f>
        <v>10-2/1-9</v>
      </c>
      <c r="K114" s="2" t="str">
        <f>UPPER(TEXT(Tabla1[[#This Row],[FECHA INF]],"MMMM"))</f>
        <v>FEBRERO</v>
      </c>
      <c r="L11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086-23</v>
      </c>
    </row>
    <row r="115" spans="1:12" hidden="1" x14ac:dyDescent="0.25">
      <c r="A115" s="52">
        <v>44985</v>
      </c>
      <c r="B115" s="27" t="s">
        <v>192</v>
      </c>
      <c r="C115" s="2" t="s">
        <v>934</v>
      </c>
      <c r="D115" s="2">
        <v>1</v>
      </c>
      <c r="E115" s="27" t="s">
        <v>135</v>
      </c>
      <c r="F115" t="s">
        <v>402</v>
      </c>
      <c r="G115" s="47"/>
      <c r="H115" s="54"/>
      <c r="I115" s="63" t="s">
        <v>1005</v>
      </c>
      <c r="J115" t="str">
        <f>CONCATENATE(Tabla1[[#This Row],[OBRA]],"/",Tabla1[[#This Row],[CODIGO ENSAYO]])</f>
        <v>10-2/1-9</v>
      </c>
      <c r="K115" s="2" t="str">
        <f>UPPER(TEXT(Tabla1[[#This Row],[FECHA INF]],"MMMM"))</f>
        <v>FEBRERO</v>
      </c>
      <c r="L11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087-23</v>
      </c>
    </row>
    <row r="116" spans="1:12" hidden="1" x14ac:dyDescent="0.25">
      <c r="A116" s="52">
        <v>44985</v>
      </c>
      <c r="B116" s="27" t="s">
        <v>192</v>
      </c>
      <c r="C116" s="2" t="s">
        <v>935</v>
      </c>
      <c r="D116" s="2">
        <v>1</v>
      </c>
      <c r="E116" s="27" t="s">
        <v>135</v>
      </c>
      <c r="F116" t="s">
        <v>402</v>
      </c>
      <c r="G116" s="47"/>
      <c r="H116" s="54"/>
      <c r="I116" s="63" t="s">
        <v>1005</v>
      </c>
      <c r="J116" t="str">
        <f>CONCATENATE(Tabla1[[#This Row],[OBRA]],"/",Tabla1[[#This Row],[CODIGO ENSAYO]])</f>
        <v>10-2/1-9</v>
      </c>
      <c r="K116" s="2" t="str">
        <f>UPPER(TEXT(Tabla1[[#This Row],[FECHA INF]],"MMMM"))</f>
        <v>FEBRERO</v>
      </c>
      <c r="L11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088-23</v>
      </c>
    </row>
    <row r="117" spans="1:12" hidden="1" x14ac:dyDescent="0.25">
      <c r="A117" s="52">
        <v>44985</v>
      </c>
      <c r="B117" s="27" t="s">
        <v>192</v>
      </c>
      <c r="C117" s="2" t="s">
        <v>936</v>
      </c>
      <c r="D117" s="2">
        <v>1</v>
      </c>
      <c r="E117" s="27" t="s">
        <v>135</v>
      </c>
      <c r="F117" t="s">
        <v>402</v>
      </c>
      <c r="G117" s="47"/>
      <c r="H117" s="54"/>
      <c r="I117" s="63" t="s">
        <v>1005</v>
      </c>
      <c r="J117" t="str">
        <f>CONCATENATE(Tabla1[[#This Row],[OBRA]],"/",Tabla1[[#This Row],[CODIGO ENSAYO]])</f>
        <v>10-2/1-9</v>
      </c>
      <c r="K117" s="2" t="str">
        <f>UPPER(TEXT(Tabla1[[#This Row],[FECHA INF]],"MMMM"))</f>
        <v>FEBRERO</v>
      </c>
      <c r="L11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089-23</v>
      </c>
    </row>
    <row r="118" spans="1:12" hidden="1" x14ac:dyDescent="0.25">
      <c r="A118" s="52">
        <v>44985</v>
      </c>
      <c r="B118" s="27" t="s">
        <v>192</v>
      </c>
      <c r="C118" s="2" t="s">
        <v>937</v>
      </c>
      <c r="D118" s="2">
        <v>1</v>
      </c>
      <c r="E118" s="27" t="s">
        <v>135</v>
      </c>
      <c r="F118" t="s">
        <v>402</v>
      </c>
      <c r="G118" s="47"/>
      <c r="H118" s="54"/>
      <c r="I118" s="63" t="s">
        <v>1005</v>
      </c>
      <c r="J118" t="str">
        <f>CONCATENATE(Tabla1[[#This Row],[OBRA]],"/",Tabla1[[#This Row],[CODIGO ENSAYO]])</f>
        <v>10-2/1-9</v>
      </c>
      <c r="K118" s="2" t="str">
        <f>UPPER(TEXT(Tabla1[[#This Row],[FECHA INF]],"MMMM"))</f>
        <v>FEBRERO</v>
      </c>
      <c r="L11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090-23</v>
      </c>
    </row>
    <row r="119" spans="1:12" hidden="1" x14ac:dyDescent="0.25">
      <c r="A119" s="52">
        <v>44985</v>
      </c>
      <c r="B119" s="27" t="s">
        <v>192</v>
      </c>
      <c r="C119" s="2" t="s">
        <v>938</v>
      </c>
      <c r="D119" s="2">
        <v>1</v>
      </c>
      <c r="E119" s="27" t="s">
        <v>135</v>
      </c>
      <c r="F119" t="s">
        <v>402</v>
      </c>
      <c r="G119" s="47"/>
      <c r="H119" s="54"/>
      <c r="I119" s="63" t="s">
        <v>1005</v>
      </c>
      <c r="J119" t="str">
        <f>CONCATENATE(Tabla1[[#This Row],[OBRA]],"/",Tabla1[[#This Row],[CODIGO ENSAYO]])</f>
        <v>10-2/1-9</v>
      </c>
      <c r="K119" s="2" t="str">
        <f>UPPER(TEXT(Tabla1[[#This Row],[FECHA INF]],"MMMM"))</f>
        <v>FEBRERO</v>
      </c>
      <c r="L11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092-23</v>
      </c>
    </row>
    <row r="120" spans="1:12" hidden="1" x14ac:dyDescent="0.25">
      <c r="A120" s="52">
        <v>44985</v>
      </c>
      <c r="B120" s="27" t="s">
        <v>192</v>
      </c>
      <c r="C120" s="2" t="s">
        <v>939</v>
      </c>
      <c r="D120" s="2">
        <v>1</v>
      </c>
      <c r="E120" s="27" t="s">
        <v>135</v>
      </c>
      <c r="F120" t="s">
        <v>402</v>
      </c>
      <c r="G120" s="47"/>
      <c r="H120" s="54"/>
      <c r="I120" s="63" t="s">
        <v>1005</v>
      </c>
      <c r="J120" t="str">
        <f>CONCATENATE(Tabla1[[#This Row],[OBRA]],"/",Tabla1[[#This Row],[CODIGO ENSAYO]])</f>
        <v>10-2/1-9</v>
      </c>
      <c r="K120" s="2" t="str">
        <f>UPPER(TEXT(Tabla1[[#This Row],[FECHA INF]],"MMMM"))</f>
        <v>FEBRERO</v>
      </c>
      <c r="L12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093-23</v>
      </c>
    </row>
    <row r="121" spans="1:12" hidden="1" x14ac:dyDescent="0.25">
      <c r="A121" s="52">
        <v>44985</v>
      </c>
      <c r="B121" s="27" t="s">
        <v>192</v>
      </c>
      <c r="C121" s="2" t="s">
        <v>940</v>
      </c>
      <c r="D121" s="2">
        <v>1</v>
      </c>
      <c r="E121" s="27" t="s">
        <v>135</v>
      </c>
      <c r="F121" t="s">
        <v>402</v>
      </c>
      <c r="G121" s="47"/>
      <c r="H121" s="54"/>
      <c r="I121" s="63" t="s">
        <v>1005</v>
      </c>
      <c r="J121" t="str">
        <f>CONCATENATE(Tabla1[[#This Row],[OBRA]],"/",Tabla1[[#This Row],[CODIGO ENSAYO]])</f>
        <v>10-2/1-9</v>
      </c>
      <c r="K121" s="2" t="str">
        <f>UPPER(TEXT(Tabla1[[#This Row],[FECHA INF]],"MMMM"))</f>
        <v>FEBRERO</v>
      </c>
      <c r="L12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094-23</v>
      </c>
    </row>
    <row r="122" spans="1:12" hidden="1" x14ac:dyDescent="0.25">
      <c r="A122" s="52">
        <v>44985</v>
      </c>
      <c r="B122" s="27" t="s">
        <v>192</v>
      </c>
      <c r="C122" s="2" t="s">
        <v>941</v>
      </c>
      <c r="D122" s="2">
        <v>1</v>
      </c>
      <c r="E122" s="27" t="s">
        <v>135</v>
      </c>
      <c r="F122" t="s">
        <v>402</v>
      </c>
      <c r="G122" s="47"/>
      <c r="H122" s="54"/>
      <c r="I122" s="63" t="s">
        <v>1005</v>
      </c>
      <c r="J122" t="str">
        <f>CONCATENATE(Tabla1[[#This Row],[OBRA]],"/",Tabla1[[#This Row],[CODIGO ENSAYO]])</f>
        <v>10-2/1-9</v>
      </c>
      <c r="K122" s="2" t="str">
        <f>UPPER(TEXT(Tabla1[[#This Row],[FECHA INF]],"MMMM"))</f>
        <v>FEBRERO</v>
      </c>
      <c r="L12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095-23</v>
      </c>
    </row>
    <row r="123" spans="1:12" hidden="1" x14ac:dyDescent="0.25">
      <c r="A123" s="52">
        <v>44985</v>
      </c>
      <c r="B123" s="27" t="s">
        <v>192</v>
      </c>
      <c r="C123" s="2" t="s">
        <v>942</v>
      </c>
      <c r="D123" s="2">
        <v>1</v>
      </c>
      <c r="E123" s="27" t="s">
        <v>135</v>
      </c>
      <c r="F123" t="s">
        <v>402</v>
      </c>
      <c r="G123" s="47"/>
      <c r="H123" s="54"/>
      <c r="I123" s="63" t="s">
        <v>1005</v>
      </c>
      <c r="J123" t="str">
        <f>CONCATENATE(Tabla1[[#This Row],[OBRA]],"/",Tabla1[[#This Row],[CODIGO ENSAYO]])</f>
        <v>10-2/1-9</v>
      </c>
      <c r="K123" s="2" t="str">
        <f>UPPER(TEXT(Tabla1[[#This Row],[FECHA INF]],"MMMM"))</f>
        <v>FEBRERO</v>
      </c>
      <c r="L12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096-23</v>
      </c>
    </row>
    <row r="124" spans="1:12" hidden="1" x14ac:dyDescent="0.25">
      <c r="A124" s="52">
        <v>44985</v>
      </c>
      <c r="B124" s="27" t="s">
        <v>192</v>
      </c>
      <c r="C124" s="2" t="s">
        <v>943</v>
      </c>
      <c r="D124" s="2">
        <v>1</v>
      </c>
      <c r="E124" s="27" t="s">
        <v>135</v>
      </c>
      <c r="F124" t="s">
        <v>402</v>
      </c>
      <c r="G124" s="47"/>
      <c r="H124" s="54"/>
      <c r="I124" s="63" t="s">
        <v>1005</v>
      </c>
      <c r="J124" t="str">
        <f>CONCATENATE(Tabla1[[#This Row],[OBRA]],"/",Tabla1[[#This Row],[CODIGO ENSAYO]])</f>
        <v>10-2/1-9</v>
      </c>
      <c r="K124" s="2" t="str">
        <f>UPPER(TEXT(Tabla1[[#This Row],[FECHA INF]],"MMMM"))</f>
        <v>FEBRERO</v>
      </c>
      <c r="L12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097-23</v>
      </c>
    </row>
    <row r="125" spans="1:12" hidden="1" x14ac:dyDescent="0.25">
      <c r="A125" s="52">
        <v>44985</v>
      </c>
      <c r="B125" s="27" t="s">
        <v>192</v>
      </c>
      <c r="C125" s="2" t="s">
        <v>944</v>
      </c>
      <c r="D125" s="2">
        <v>1</v>
      </c>
      <c r="E125" s="27" t="s">
        <v>135</v>
      </c>
      <c r="F125" t="s">
        <v>402</v>
      </c>
      <c r="G125" s="47"/>
      <c r="H125" s="54"/>
      <c r="I125" s="63" t="s">
        <v>1005</v>
      </c>
      <c r="J125" t="str">
        <f>CONCATENATE(Tabla1[[#This Row],[OBRA]],"/",Tabla1[[#This Row],[CODIGO ENSAYO]])</f>
        <v>10-2/1-9</v>
      </c>
      <c r="K125" s="2" t="str">
        <f>UPPER(TEXT(Tabla1[[#This Row],[FECHA INF]],"MMMM"))</f>
        <v>FEBRERO</v>
      </c>
      <c r="L12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098-23</v>
      </c>
    </row>
    <row r="126" spans="1:12" hidden="1" x14ac:dyDescent="0.25">
      <c r="A126" s="52">
        <v>44985</v>
      </c>
      <c r="B126" s="27" t="s">
        <v>192</v>
      </c>
      <c r="C126" s="2" t="s">
        <v>945</v>
      </c>
      <c r="D126" s="2">
        <v>1</v>
      </c>
      <c r="E126" s="27" t="s">
        <v>135</v>
      </c>
      <c r="F126" t="s">
        <v>402</v>
      </c>
      <c r="G126" s="47"/>
      <c r="H126" s="54"/>
      <c r="I126" s="63" t="s">
        <v>1005</v>
      </c>
      <c r="J126" t="str">
        <f>CONCATENATE(Tabla1[[#This Row],[OBRA]],"/",Tabla1[[#This Row],[CODIGO ENSAYO]])</f>
        <v>10-2/1-9</v>
      </c>
      <c r="K126" s="2" t="str">
        <f>UPPER(TEXT(Tabla1[[#This Row],[FECHA INF]],"MMMM"))</f>
        <v>FEBRERO</v>
      </c>
      <c r="L12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099-23</v>
      </c>
    </row>
    <row r="127" spans="1:12" hidden="1" x14ac:dyDescent="0.25">
      <c r="A127" s="52">
        <v>44985</v>
      </c>
      <c r="B127" s="27" t="s">
        <v>192</v>
      </c>
      <c r="C127" s="2" t="s">
        <v>946</v>
      </c>
      <c r="D127" s="2">
        <v>1</v>
      </c>
      <c r="E127" s="27" t="s">
        <v>135</v>
      </c>
      <c r="F127" t="s">
        <v>402</v>
      </c>
      <c r="G127" s="47"/>
      <c r="H127" s="54"/>
      <c r="I127" s="63" t="s">
        <v>1005</v>
      </c>
      <c r="J127" t="str">
        <f>CONCATENATE(Tabla1[[#This Row],[OBRA]],"/",Tabla1[[#This Row],[CODIGO ENSAYO]])</f>
        <v>10-2/1-9</v>
      </c>
      <c r="K127" s="2" t="str">
        <f>UPPER(TEXT(Tabla1[[#This Row],[FECHA INF]],"MMMM"))</f>
        <v>FEBRERO</v>
      </c>
      <c r="L12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100-23</v>
      </c>
    </row>
    <row r="128" spans="1:12" hidden="1" x14ac:dyDescent="0.25">
      <c r="A128" s="52">
        <v>44985</v>
      </c>
      <c r="B128" s="27" t="s">
        <v>192</v>
      </c>
      <c r="C128" s="2" t="s">
        <v>947</v>
      </c>
      <c r="D128" s="2">
        <v>3</v>
      </c>
      <c r="E128" s="27" t="s">
        <v>135</v>
      </c>
      <c r="F128" t="s">
        <v>402</v>
      </c>
      <c r="G128" s="47"/>
      <c r="H128" s="54"/>
      <c r="I128" s="63" t="s">
        <v>1005</v>
      </c>
      <c r="J128" t="str">
        <f>CONCATENATE(Tabla1[[#This Row],[OBRA]],"/",Tabla1[[#This Row],[CODIGO ENSAYO]])</f>
        <v>10-2/1-9</v>
      </c>
      <c r="K128" s="2" t="str">
        <f>UPPER(TEXT(Tabla1[[#This Row],[FECHA INF]],"MMMM"))</f>
        <v>FEBRERO</v>
      </c>
      <c r="L12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103-23</v>
      </c>
    </row>
    <row r="129" spans="1:12" hidden="1" x14ac:dyDescent="0.25">
      <c r="A129" s="52">
        <v>44985</v>
      </c>
      <c r="B129" s="27" t="s">
        <v>522</v>
      </c>
      <c r="C129" s="2" t="s">
        <v>927</v>
      </c>
      <c r="D129" s="2">
        <v>2</v>
      </c>
      <c r="E129" s="27" t="s">
        <v>123</v>
      </c>
      <c r="F129" t="s">
        <v>15</v>
      </c>
      <c r="G129" s="47"/>
      <c r="H129" s="54"/>
      <c r="I129" s="63" t="s">
        <v>1005</v>
      </c>
      <c r="J129" t="str">
        <f>CONCATENATE(Tabla1[[#This Row],[OBRA]],"/",Tabla1[[#This Row],[CODIGO ENSAYO]])</f>
        <v>17-1/1-1</v>
      </c>
      <c r="K129" s="2" t="str">
        <f>UPPER(TEXT(Tabla1[[#This Row],[FECHA INF]],"MMMM"))</f>
        <v>FEBRERO</v>
      </c>
      <c r="L12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104-23</v>
      </c>
    </row>
    <row r="130" spans="1:12" hidden="1" x14ac:dyDescent="0.25">
      <c r="A130" s="52">
        <v>44985</v>
      </c>
      <c r="B130" s="27" t="s">
        <v>522</v>
      </c>
      <c r="C130" s="2" t="s">
        <v>928</v>
      </c>
      <c r="D130" s="2">
        <v>2</v>
      </c>
      <c r="E130" s="27" t="s">
        <v>123</v>
      </c>
      <c r="F130" t="s">
        <v>15</v>
      </c>
      <c r="G130" s="47"/>
      <c r="H130" s="54"/>
      <c r="I130" s="63" t="s">
        <v>1005</v>
      </c>
      <c r="J130" t="str">
        <f>CONCATENATE(Tabla1[[#This Row],[OBRA]],"/",Tabla1[[#This Row],[CODIGO ENSAYO]])</f>
        <v>17-1/1-1</v>
      </c>
      <c r="K130" s="2" t="str">
        <f>UPPER(TEXT(Tabla1[[#This Row],[FECHA INF]],"MMMM"))</f>
        <v>FEBRERO</v>
      </c>
      <c r="L13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105-23</v>
      </c>
    </row>
    <row r="131" spans="1:12" hidden="1" x14ac:dyDescent="0.25">
      <c r="A131" s="52">
        <v>44985</v>
      </c>
      <c r="B131" s="27" t="s">
        <v>192</v>
      </c>
      <c r="C131" s="2" t="s">
        <v>948</v>
      </c>
      <c r="D131" s="2">
        <v>1</v>
      </c>
      <c r="E131" s="27" t="s">
        <v>135</v>
      </c>
      <c r="F131" t="s">
        <v>402</v>
      </c>
      <c r="G131" s="47"/>
      <c r="H131" s="54"/>
      <c r="I131" s="63" t="s">
        <v>1005</v>
      </c>
      <c r="J131" t="str">
        <f>CONCATENATE(Tabla1[[#This Row],[OBRA]],"/",Tabla1[[#This Row],[CODIGO ENSAYO]])</f>
        <v>10-2/1-9</v>
      </c>
      <c r="K131" s="2" t="str">
        <f>UPPER(TEXT(Tabla1[[#This Row],[FECHA INF]],"MMMM"))</f>
        <v>FEBRERO</v>
      </c>
      <c r="L13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106-23</v>
      </c>
    </row>
    <row r="132" spans="1:12" hidden="1" x14ac:dyDescent="0.25">
      <c r="A132" s="52">
        <v>44985</v>
      </c>
      <c r="B132" s="27" t="s">
        <v>522</v>
      </c>
      <c r="C132" s="2" t="s">
        <v>929</v>
      </c>
      <c r="D132" s="2">
        <v>3</v>
      </c>
      <c r="E132" s="27" t="s">
        <v>123</v>
      </c>
      <c r="F132" t="s">
        <v>15</v>
      </c>
      <c r="G132" s="47"/>
      <c r="H132" s="54"/>
      <c r="I132" s="63" t="s">
        <v>1005</v>
      </c>
      <c r="J132" t="str">
        <f>CONCATENATE(Tabla1[[#This Row],[OBRA]],"/",Tabla1[[#This Row],[CODIGO ENSAYO]])</f>
        <v>17-1/1-1</v>
      </c>
      <c r="K132" s="2" t="str">
        <f>UPPER(TEXT(Tabla1[[#This Row],[FECHA INF]],"MMMM"))</f>
        <v>FEBRERO</v>
      </c>
      <c r="L13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108-23</v>
      </c>
    </row>
    <row r="133" spans="1:12" hidden="1" x14ac:dyDescent="0.25">
      <c r="A133" s="52">
        <v>44985</v>
      </c>
      <c r="B133" s="27" t="s">
        <v>192</v>
      </c>
      <c r="C133" s="2" t="s">
        <v>949</v>
      </c>
      <c r="D133" s="2">
        <v>1</v>
      </c>
      <c r="E133" s="27" t="s">
        <v>135</v>
      </c>
      <c r="F133" t="s">
        <v>402</v>
      </c>
      <c r="G133" s="47"/>
      <c r="H133" s="54"/>
      <c r="I133" s="63" t="s">
        <v>1005</v>
      </c>
      <c r="J133" t="str">
        <f>CONCATENATE(Tabla1[[#This Row],[OBRA]],"/",Tabla1[[#This Row],[CODIGO ENSAYO]])</f>
        <v>10-2/1-9</v>
      </c>
      <c r="K133" s="2" t="str">
        <f>UPPER(TEXT(Tabla1[[#This Row],[FECHA INF]],"MMMM"))</f>
        <v>FEBRERO</v>
      </c>
      <c r="L13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109-23</v>
      </c>
    </row>
    <row r="134" spans="1:12" hidden="1" x14ac:dyDescent="0.25">
      <c r="A134" s="52">
        <v>44985</v>
      </c>
      <c r="B134" s="27" t="s">
        <v>192</v>
      </c>
      <c r="C134" s="2" t="s">
        <v>924</v>
      </c>
      <c r="D134" s="2">
        <v>1</v>
      </c>
      <c r="E134" s="27" t="s">
        <v>141</v>
      </c>
      <c r="F134" t="s">
        <v>437</v>
      </c>
      <c r="G134" s="47"/>
      <c r="H134" s="54"/>
      <c r="I134" s="63" t="s">
        <v>1005</v>
      </c>
      <c r="J134" t="str">
        <f>CONCATENATE(Tabla1[[#This Row],[OBRA]],"/",Tabla1[[#This Row],[CODIGO ENSAYO]])</f>
        <v>10-2/2-5</v>
      </c>
      <c r="K134" s="2" t="str">
        <f>UPPER(TEXT(Tabla1[[#This Row],[FECHA INF]],"MMMM"))</f>
        <v>FEBRERO</v>
      </c>
      <c r="L13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112-23</v>
      </c>
    </row>
    <row r="135" spans="1:12" hidden="1" x14ac:dyDescent="0.25">
      <c r="A135" s="52">
        <v>44985</v>
      </c>
      <c r="B135" s="27" t="s">
        <v>522</v>
      </c>
      <c r="C135" s="2" t="s">
        <v>930</v>
      </c>
      <c r="D135" s="2">
        <v>3</v>
      </c>
      <c r="E135" s="27" t="s">
        <v>123</v>
      </c>
      <c r="F135" t="s">
        <v>15</v>
      </c>
      <c r="G135" s="47"/>
      <c r="H135" s="54"/>
      <c r="I135" s="63" t="s">
        <v>1005</v>
      </c>
      <c r="J135" t="str">
        <f>CONCATENATE(Tabla1[[#This Row],[OBRA]],"/",Tabla1[[#This Row],[CODIGO ENSAYO]])</f>
        <v>17-1/1-1</v>
      </c>
      <c r="K135" s="2" t="str">
        <f>UPPER(TEXT(Tabla1[[#This Row],[FECHA INF]],"MMMM"))</f>
        <v>FEBRERO</v>
      </c>
      <c r="L13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114-23</v>
      </c>
    </row>
    <row r="136" spans="1:12" hidden="1" x14ac:dyDescent="0.25">
      <c r="A136" s="52">
        <v>44985</v>
      </c>
      <c r="B136" s="27" t="s">
        <v>192</v>
      </c>
      <c r="C136" s="2" t="s">
        <v>950</v>
      </c>
      <c r="D136" s="2">
        <v>1</v>
      </c>
      <c r="E136" s="27" t="s">
        <v>135</v>
      </c>
      <c r="F136" t="s">
        <v>402</v>
      </c>
      <c r="G136" s="47"/>
      <c r="H136" s="54"/>
      <c r="I136" s="63" t="s">
        <v>1005</v>
      </c>
      <c r="J136" t="str">
        <f>CONCATENATE(Tabla1[[#This Row],[OBRA]],"/",Tabla1[[#This Row],[CODIGO ENSAYO]])</f>
        <v>10-2/1-9</v>
      </c>
      <c r="K136" s="2" t="str">
        <f>UPPER(TEXT(Tabla1[[#This Row],[FECHA INF]],"MMMM"))</f>
        <v>FEBRERO</v>
      </c>
      <c r="L13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115-23</v>
      </c>
    </row>
    <row r="137" spans="1:12" hidden="1" x14ac:dyDescent="0.25">
      <c r="A137" s="52">
        <v>44985</v>
      </c>
      <c r="B137" s="27" t="s">
        <v>522</v>
      </c>
      <c r="C137" s="2" t="s">
        <v>914</v>
      </c>
      <c r="D137" s="2">
        <v>6</v>
      </c>
      <c r="E137" s="27" t="s">
        <v>885</v>
      </c>
      <c r="F137" t="s">
        <v>886</v>
      </c>
      <c r="G137" s="47"/>
      <c r="H137" s="54"/>
      <c r="I137" s="63" t="s">
        <v>1005</v>
      </c>
      <c r="J137" t="str">
        <f>CONCATENATE(Tabla1[[#This Row],[OBRA]],"/",Tabla1[[#This Row],[CODIGO ENSAYO]])</f>
        <v>17-1/14-11</v>
      </c>
      <c r="K137" s="2" t="str">
        <f>UPPER(TEXT(Tabla1[[#This Row],[FECHA INF]],"MMMM"))</f>
        <v>FEBRERO</v>
      </c>
      <c r="L13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121-23</v>
      </c>
    </row>
    <row r="138" spans="1:12" hidden="1" x14ac:dyDescent="0.25">
      <c r="A138" s="52">
        <v>44985</v>
      </c>
      <c r="B138" s="27" t="s">
        <v>522</v>
      </c>
      <c r="C138" s="2" t="s">
        <v>915</v>
      </c>
      <c r="D138" s="2">
        <v>6</v>
      </c>
      <c r="E138" s="27" t="s">
        <v>885</v>
      </c>
      <c r="F138" t="s">
        <v>886</v>
      </c>
      <c r="G138" s="47"/>
      <c r="H138" s="54"/>
      <c r="I138" s="63" t="s">
        <v>1005</v>
      </c>
      <c r="J138" t="str">
        <f>CONCATENATE(Tabla1[[#This Row],[OBRA]],"/",Tabla1[[#This Row],[CODIGO ENSAYO]])</f>
        <v>17-1/14-11</v>
      </c>
      <c r="K138" s="2" t="str">
        <f>UPPER(TEXT(Tabla1[[#This Row],[FECHA INF]],"MMMM"))</f>
        <v>FEBRERO</v>
      </c>
      <c r="L13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122-23</v>
      </c>
    </row>
    <row r="139" spans="1:12" hidden="1" x14ac:dyDescent="0.25">
      <c r="A139" s="52">
        <v>44985</v>
      </c>
      <c r="B139" s="27" t="s">
        <v>522</v>
      </c>
      <c r="C139" s="2" t="s">
        <v>916</v>
      </c>
      <c r="D139" s="2">
        <v>6</v>
      </c>
      <c r="E139" s="27" t="s">
        <v>885</v>
      </c>
      <c r="F139" t="s">
        <v>886</v>
      </c>
      <c r="G139" s="47"/>
      <c r="H139" s="54"/>
      <c r="I139" s="63" t="s">
        <v>1005</v>
      </c>
      <c r="J139" t="str">
        <f>CONCATENATE(Tabla1[[#This Row],[OBRA]],"/",Tabla1[[#This Row],[CODIGO ENSAYO]])</f>
        <v>17-1/14-11</v>
      </c>
      <c r="K139" s="2" t="str">
        <f>UPPER(TEXT(Tabla1[[#This Row],[FECHA INF]],"MMMM"))</f>
        <v>FEBRERO</v>
      </c>
      <c r="L13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123-23</v>
      </c>
    </row>
    <row r="140" spans="1:12" hidden="1" x14ac:dyDescent="0.25">
      <c r="A140" s="52">
        <v>44985</v>
      </c>
      <c r="B140" s="27" t="s">
        <v>522</v>
      </c>
      <c r="C140" s="2" t="s">
        <v>917</v>
      </c>
      <c r="D140" s="2">
        <v>6</v>
      </c>
      <c r="E140" s="27" t="s">
        <v>885</v>
      </c>
      <c r="F140" t="s">
        <v>886</v>
      </c>
      <c r="G140" s="47"/>
      <c r="H140" s="54"/>
      <c r="I140" s="63" t="s">
        <v>1005</v>
      </c>
      <c r="J140" t="str">
        <f>CONCATENATE(Tabla1[[#This Row],[OBRA]],"/",Tabla1[[#This Row],[CODIGO ENSAYO]])</f>
        <v>17-1/14-11</v>
      </c>
      <c r="K140" s="2" t="str">
        <f>UPPER(TEXT(Tabla1[[#This Row],[FECHA INF]],"MMMM"))</f>
        <v>FEBRERO</v>
      </c>
      <c r="L14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124-23</v>
      </c>
    </row>
    <row r="141" spans="1:12" hidden="1" x14ac:dyDescent="0.25">
      <c r="A141" s="52">
        <v>44985</v>
      </c>
      <c r="B141" s="27" t="s">
        <v>522</v>
      </c>
      <c r="C141" s="2" t="s">
        <v>918</v>
      </c>
      <c r="D141" s="2">
        <v>1</v>
      </c>
      <c r="E141" s="27" t="s">
        <v>885</v>
      </c>
      <c r="F141" t="s">
        <v>886</v>
      </c>
      <c r="G141" s="47"/>
      <c r="H141" s="54"/>
      <c r="I141" s="63" t="s">
        <v>1005</v>
      </c>
      <c r="J141" t="str">
        <f>CONCATENATE(Tabla1[[#This Row],[OBRA]],"/",Tabla1[[#This Row],[CODIGO ENSAYO]])</f>
        <v>17-1/14-11</v>
      </c>
      <c r="K141" s="2" t="str">
        <f>UPPER(TEXT(Tabla1[[#This Row],[FECHA INF]],"MMMM"))</f>
        <v>FEBRERO</v>
      </c>
      <c r="L14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125-23</v>
      </c>
    </row>
    <row r="142" spans="1:12" hidden="1" x14ac:dyDescent="0.25">
      <c r="A142" s="52">
        <v>44985</v>
      </c>
      <c r="B142" s="27" t="s">
        <v>12</v>
      </c>
      <c r="C142" s="2" t="s">
        <v>889</v>
      </c>
      <c r="D142" s="2">
        <v>1</v>
      </c>
      <c r="E142" s="27" t="s">
        <v>137</v>
      </c>
      <c r="F142" t="s">
        <v>240</v>
      </c>
      <c r="G142" s="47"/>
      <c r="H142" s="54"/>
      <c r="I142" s="63" t="s">
        <v>1005</v>
      </c>
      <c r="J142" t="str">
        <f>CONCATENATE(Tabla1[[#This Row],[OBRA]],"/",Tabla1[[#This Row],[CODIGO ENSAYO]])</f>
        <v>14-1/2-1</v>
      </c>
      <c r="K142" s="2" t="str">
        <f>UPPER(TEXT(Tabla1[[#This Row],[FECHA INF]],"MMMM"))</f>
        <v>FEBRERO</v>
      </c>
      <c r="L14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126-23</v>
      </c>
    </row>
    <row r="143" spans="1:12" hidden="1" x14ac:dyDescent="0.25">
      <c r="A143" s="52">
        <v>44985</v>
      </c>
      <c r="B143" s="27" t="s">
        <v>12</v>
      </c>
      <c r="C143" s="2" t="s">
        <v>889</v>
      </c>
      <c r="D143" s="2">
        <v>1</v>
      </c>
      <c r="E143" s="27" t="s">
        <v>138</v>
      </c>
      <c r="F143" t="s">
        <v>23</v>
      </c>
      <c r="G143" s="47"/>
      <c r="H143" s="54"/>
      <c r="I143" s="63" t="s">
        <v>1005</v>
      </c>
      <c r="J143" t="str">
        <f>CONCATENATE(Tabla1[[#This Row],[OBRA]],"/",Tabla1[[#This Row],[CODIGO ENSAYO]])</f>
        <v>14-1/2-2</v>
      </c>
      <c r="K143" s="2" t="str">
        <f>UPPER(TEXT(Tabla1[[#This Row],[FECHA INF]],"MMMM"))</f>
        <v>FEBRERO</v>
      </c>
      <c r="L14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126-23</v>
      </c>
    </row>
    <row r="144" spans="1:12" hidden="1" x14ac:dyDescent="0.25">
      <c r="A144" s="52">
        <v>44985</v>
      </c>
      <c r="B144" s="27" t="s">
        <v>12</v>
      </c>
      <c r="C144" s="2" t="s">
        <v>889</v>
      </c>
      <c r="D144" s="2">
        <v>1</v>
      </c>
      <c r="E144" s="27" t="s">
        <v>139</v>
      </c>
      <c r="F144" t="s">
        <v>468</v>
      </c>
      <c r="G144" s="47"/>
      <c r="H144" s="54"/>
      <c r="I144" s="63" t="s">
        <v>1005</v>
      </c>
      <c r="J144" t="str">
        <f>CONCATENATE(Tabla1[[#This Row],[OBRA]],"/",Tabla1[[#This Row],[CODIGO ENSAYO]])</f>
        <v>14-1/2-3</v>
      </c>
      <c r="K144" s="2" t="str">
        <f>UPPER(TEXT(Tabla1[[#This Row],[FECHA INF]],"MMMM"))</f>
        <v>FEBRERO</v>
      </c>
      <c r="L14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126-23</v>
      </c>
    </row>
    <row r="145" spans="1:12" hidden="1" x14ac:dyDescent="0.25">
      <c r="A145" s="52">
        <v>44985</v>
      </c>
      <c r="B145" s="27" t="s">
        <v>522</v>
      </c>
      <c r="C145" s="2" t="s">
        <v>889</v>
      </c>
      <c r="D145" s="2">
        <v>4</v>
      </c>
      <c r="E145" s="27" t="s">
        <v>127</v>
      </c>
      <c r="F145" t="s">
        <v>465</v>
      </c>
      <c r="G145" s="47"/>
      <c r="H145" s="54"/>
      <c r="I145" s="63" t="s">
        <v>1005</v>
      </c>
      <c r="J145" t="str">
        <f>CONCATENATE(Tabla1[[#This Row],[OBRA]],"/",Tabla1[[#This Row],[CODIGO ENSAYO]])</f>
        <v>17-1/1-3-1</v>
      </c>
      <c r="K145" s="2" t="str">
        <f>UPPER(TEXT(Tabla1[[#This Row],[FECHA INF]],"MMMM"))</f>
        <v>FEBRERO</v>
      </c>
      <c r="L14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126-23</v>
      </c>
    </row>
    <row r="146" spans="1:12" hidden="1" x14ac:dyDescent="0.25">
      <c r="A146" s="52">
        <v>44985</v>
      </c>
      <c r="B146" s="27" t="s">
        <v>12</v>
      </c>
      <c r="C146" s="2" t="s">
        <v>890</v>
      </c>
      <c r="D146" s="2">
        <v>1</v>
      </c>
      <c r="E146" s="27" t="s">
        <v>163</v>
      </c>
      <c r="F146" t="s">
        <v>2</v>
      </c>
      <c r="G146" s="47"/>
      <c r="H146" s="54"/>
      <c r="I146" s="63" t="s">
        <v>1005</v>
      </c>
      <c r="J146" t="str">
        <f>CONCATENATE(Tabla1[[#This Row],[OBRA]],"/",Tabla1[[#This Row],[CODIGO ENSAYO]])</f>
        <v>14-1/4-9</v>
      </c>
      <c r="K146" s="2" t="str">
        <f>UPPER(TEXT(Tabla1[[#This Row],[FECHA INF]],"MMMM"))</f>
        <v>FEBRERO</v>
      </c>
      <c r="L14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127-23</v>
      </c>
    </row>
    <row r="147" spans="1:12" hidden="1" x14ac:dyDescent="0.25">
      <c r="A147" s="52">
        <v>44985</v>
      </c>
      <c r="B147" s="27" t="s">
        <v>12</v>
      </c>
      <c r="C147" s="2" t="s">
        <v>891</v>
      </c>
      <c r="D147" s="2">
        <v>1</v>
      </c>
      <c r="E147" s="27" t="s">
        <v>169</v>
      </c>
      <c r="F147" t="s">
        <v>47</v>
      </c>
      <c r="G147" s="47"/>
      <c r="H147" s="54"/>
      <c r="I147" s="63" t="s">
        <v>1005</v>
      </c>
      <c r="J147" t="str">
        <f>CONCATENATE(Tabla1[[#This Row],[OBRA]],"/",Tabla1[[#This Row],[CODIGO ENSAYO]])</f>
        <v>14-1/4-15</v>
      </c>
      <c r="K147" s="2" t="str">
        <f>UPPER(TEXT(Tabla1[[#This Row],[FECHA INF]],"MMMM"))</f>
        <v>FEBRERO</v>
      </c>
      <c r="L14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128-23</v>
      </c>
    </row>
    <row r="148" spans="1:12" hidden="1" x14ac:dyDescent="0.25">
      <c r="A148" s="52">
        <v>44985</v>
      </c>
      <c r="B148" s="27" t="s">
        <v>12</v>
      </c>
      <c r="C148" s="2" t="s">
        <v>892</v>
      </c>
      <c r="D148" s="2">
        <v>1</v>
      </c>
      <c r="E148" s="27" t="s">
        <v>159</v>
      </c>
      <c r="F148" t="s">
        <v>39</v>
      </c>
      <c r="G148" s="47"/>
      <c r="H148" s="54"/>
      <c r="I148" s="63" t="s">
        <v>1005</v>
      </c>
      <c r="J148" t="str">
        <f>CONCATENATE(Tabla1[[#This Row],[OBRA]],"/",Tabla1[[#This Row],[CODIGO ENSAYO]])</f>
        <v>14-1/4-4</v>
      </c>
      <c r="K148" s="2" t="str">
        <f>UPPER(TEXT(Tabla1[[#This Row],[FECHA INF]],"MMMM"))</f>
        <v>FEBRERO</v>
      </c>
      <c r="L14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129-23</v>
      </c>
    </row>
    <row r="149" spans="1:12" hidden="1" x14ac:dyDescent="0.25">
      <c r="A149" s="52">
        <v>44985</v>
      </c>
      <c r="B149" s="27" t="s">
        <v>12</v>
      </c>
      <c r="C149" s="2" t="s">
        <v>893</v>
      </c>
      <c r="D149" s="2">
        <v>1</v>
      </c>
      <c r="E149" s="27" t="s">
        <v>157</v>
      </c>
      <c r="F149" t="s">
        <v>37</v>
      </c>
      <c r="G149" s="47"/>
      <c r="H149" s="54"/>
      <c r="I149" s="63" t="s">
        <v>1005</v>
      </c>
      <c r="J149" t="str">
        <f>CONCATENATE(Tabla1[[#This Row],[OBRA]],"/",Tabla1[[#This Row],[CODIGO ENSAYO]])</f>
        <v>14-1/4-2</v>
      </c>
      <c r="K149" s="2" t="str">
        <f>UPPER(TEXT(Tabla1[[#This Row],[FECHA INF]],"MMMM"))</f>
        <v>FEBRERO</v>
      </c>
      <c r="L14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130-23</v>
      </c>
    </row>
    <row r="150" spans="1:12" hidden="1" x14ac:dyDescent="0.25">
      <c r="A150" s="52">
        <v>44985</v>
      </c>
      <c r="B150" s="27" t="s">
        <v>12</v>
      </c>
      <c r="C150" s="2" t="s">
        <v>894</v>
      </c>
      <c r="D150" s="2">
        <v>1</v>
      </c>
      <c r="E150" s="27" t="s">
        <v>160</v>
      </c>
      <c r="F150" t="s">
        <v>40</v>
      </c>
      <c r="G150" s="47"/>
      <c r="H150" s="54"/>
      <c r="I150" s="63" t="s">
        <v>1005</v>
      </c>
      <c r="J150" t="str">
        <f>CONCATENATE(Tabla1[[#This Row],[OBRA]],"/",Tabla1[[#This Row],[CODIGO ENSAYO]])</f>
        <v>14-1/4-5</v>
      </c>
      <c r="K150" s="2" t="str">
        <f>UPPER(TEXT(Tabla1[[#This Row],[FECHA INF]],"MMMM"))</f>
        <v>FEBRERO</v>
      </c>
      <c r="L15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131-23</v>
      </c>
    </row>
    <row r="151" spans="1:12" hidden="1" x14ac:dyDescent="0.25">
      <c r="A151" s="52">
        <v>44985</v>
      </c>
      <c r="B151" s="27" t="s">
        <v>12</v>
      </c>
      <c r="C151" s="2" t="s">
        <v>895</v>
      </c>
      <c r="D151" s="2">
        <v>1</v>
      </c>
      <c r="E151" s="27" t="s">
        <v>137</v>
      </c>
      <c r="F151" t="s">
        <v>240</v>
      </c>
      <c r="G151" s="47"/>
      <c r="H151" s="54"/>
      <c r="I151" s="63" t="s">
        <v>1005</v>
      </c>
      <c r="J151" t="str">
        <f>CONCATENATE(Tabla1[[#This Row],[OBRA]],"/",Tabla1[[#This Row],[CODIGO ENSAYO]])</f>
        <v>14-1/2-1</v>
      </c>
      <c r="K151" s="2" t="str">
        <f>UPPER(TEXT(Tabla1[[#This Row],[FECHA INF]],"MMMM"))</f>
        <v>FEBRERO</v>
      </c>
      <c r="L15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132-23</v>
      </c>
    </row>
    <row r="152" spans="1:12" hidden="1" x14ac:dyDescent="0.25">
      <c r="A152" s="52">
        <v>44985</v>
      </c>
      <c r="B152" s="27" t="s">
        <v>12</v>
      </c>
      <c r="C152" s="2" t="s">
        <v>895</v>
      </c>
      <c r="D152" s="2">
        <v>1</v>
      </c>
      <c r="E152" s="27" t="s">
        <v>138</v>
      </c>
      <c r="F152" t="s">
        <v>23</v>
      </c>
      <c r="G152" s="47"/>
      <c r="H152" s="54"/>
      <c r="I152" s="63" t="s">
        <v>1005</v>
      </c>
      <c r="J152" t="str">
        <f>CONCATENATE(Tabla1[[#This Row],[OBRA]],"/",Tabla1[[#This Row],[CODIGO ENSAYO]])</f>
        <v>14-1/2-2</v>
      </c>
      <c r="K152" s="2" t="str">
        <f>UPPER(TEXT(Tabla1[[#This Row],[FECHA INF]],"MMMM"))</f>
        <v>FEBRERO</v>
      </c>
      <c r="L15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132-23</v>
      </c>
    </row>
    <row r="153" spans="1:12" hidden="1" x14ac:dyDescent="0.25">
      <c r="A153" s="52">
        <v>44985</v>
      </c>
      <c r="B153" s="27" t="s">
        <v>12</v>
      </c>
      <c r="C153" s="2" t="s">
        <v>895</v>
      </c>
      <c r="D153" s="2">
        <v>1</v>
      </c>
      <c r="E153" s="27" t="s">
        <v>139</v>
      </c>
      <c r="F153" t="s">
        <v>468</v>
      </c>
      <c r="G153" s="47"/>
      <c r="H153" s="54"/>
      <c r="I153" s="63" t="s">
        <v>1005</v>
      </c>
      <c r="J153" t="str">
        <f>CONCATENATE(Tabla1[[#This Row],[OBRA]],"/",Tabla1[[#This Row],[CODIGO ENSAYO]])</f>
        <v>14-1/2-3</v>
      </c>
      <c r="K153" s="2" t="str">
        <f>UPPER(TEXT(Tabla1[[#This Row],[FECHA INF]],"MMMM"))</f>
        <v>FEBRERO</v>
      </c>
      <c r="L15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132-23</v>
      </c>
    </row>
    <row r="154" spans="1:12" hidden="1" x14ac:dyDescent="0.25">
      <c r="A154" s="52">
        <v>44985</v>
      </c>
      <c r="B154" s="27" t="s">
        <v>12</v>
      </c>
      <c r="C154" s="2" t="s">
        <v>896</v>
      </c>
      <c r="D154" s="2">
        <v>1</v>
      </c>
      <c r="E154" s="27" t="s">
        <v>163</v>
      </c>
      <c r="F154" t="s">
        <v>2</v>
      </c>
      <c r="G154" s="47"/>
      <c r="H154" s="54"/>
      <c r="I154" s="63" t="s">
        <v>1005</v>
      </c>
      <c r="J154" t="str">
        <f>CONCATENATE(Tabla1[[#This Row],[OBRA]],"/",Tabla1[[#This Row],[CODIGO ENSAYO]])</f>
        <v>14-1/4-9</v>
      </c>
      <c r="K154" s="2" t="str">
        <f>UPPER(TEXT(Tabla1[[#This Row],[FECHA INF]],"MMMM"))</f>
        <v>FEBRERO</v>
      </c>
      <c r="L15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133-23</v>
      </c>
    </row>
    <row r="155" spans="1:12" hidden="1" x14ac:dyDescent="0.25">
      <c r="A155" s="52">
        <v>44985</v>
      </c>
      <c r="B155" s="27" t="s">
        <v>12</v>
      </c>
      <c r="C155" s="2" t="s">
        <v>897</v>
      </c>
      <c r="D155" s="2">
        <v>1</v>
      </c>
      <c r="E155" s="27" t="s">
        <v>169</v>
      </c>
      <c r="F155" t="s">
        <v>47</v>
      </c>
      <c r="G155" s="47"/>
      <c r="H155" s="54"/>
      <c r="I155" s="63" t="s">
        <v>1005</v>
      </c>
      <c r="J155" t="str">
        <f>CONCATENATE(Tabla1[[#This Row],[OBRA]],"/",Tabla1[[#This Row],[CODIGO ENSAYO]])</f>
        <v>14-1/4-15</v>
      </c>
      <c r="K155" s="2" t="str">
        <f>UPPER(TEXT(Tabla1[[#This Row],[FECHA INF]],"MMMM"))</f>
        <v>FEBRERO</v>
      </c>
      <c r="L15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134-23</v>
      </c>
    </row>
    <row r="156" spans="1:12" hidden="1" x14ac:dyDescent="0.25">
      <c r="A156" s="52">
        <v>44985</v>
      </c>
      <c r="B156" s="27" t="s">
        <v>12</v>
      </c>
      <c r="C156" s="2" t="s">
        <v>898</v>
      </c>
      <c r="D156" s="2">
        <v>1</v>
      </c>
      <c r="E156" s="27" t="s">
        <v>159</v>
      </c>
      <c r="F156" t="s">
        <v>39</v>
      </c>
      <c r="G156" s="47"/>
      <c r="H156" s="54"/>
      <c r="I156" s="63" t="s">
        <v>1005</v>
      </c>
      <c r="J156" t="str">
        <f>CONCATENATE(Tabla1[[#This Row],[OBRA]],"/",Tabla1[[#This Row],[CODIGO ENSAYO]])</f>
        <v>14-1/4-4</v>
      </c>
      <c r="K156" s="2" t="str">
        <f>UPPER(TEXT(Tabla1[[#This Row],[FECHA INF]],"MMMM"))</f>
        <v>FEBRERO</v>
      </c>
      <c r="L15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135-23</v>
      </c>
    </row>
    <row r="157" spans="1:12" hidden="1" x14ac:dyDescent="0.25">
      <c r="A157" s="52">
        <v>44985</v>
      </c>
      <c r="B157" s="27" t="s">
        <v>12</v>
      </c>
      <c r="C157" s="2" t="s">
        <v>899</v>
      </c>
      <c r="D157" s="2">
        <v>1</v>
      </c>
      <c r="E157" s="27" t="s">
        <v>157</v>
      </c>
      <c r="F157" t="s">
        <v>37</v>
      </c>
      <c r="G157" s="47"/>
      <c r="H157" s="54"/>
      <c r="I157" s="63" t="s">
        <v>1005</v>
      </c>
      <c r="J157" t="str">
        <f>CONCATENATE(Tabla1[[#This Row],[OBRA]],"/",Tabla1[[#This Row],[CODIGO ENSAYO]])</f>
        <v>14-1/4-2</v>
      </c>
      <c r="K157" s="2" t="str">
        <f>UPPER(TEXT(Tabla1[[#This Row],[FECHA INF]],"MMMM"))</f>
        <v>FEBRERO</v>
      </c>
      <c r="L15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136-23</v>
      </c>
    </row>
    <row r="158" spans="1:12" hidden="1" x14ac:dyDescent="0.25">
      <c r="A158" s="52">
        <v>44985</v>
      </c>
      <c r="B158" s="27" t="s">
        <v>12</v>
      </c>
      <c r="C158" s="2" t="s">
        <v>900</v>
      </c>
      <c r="D158" s="2">
        <v>1</v>
      </c>
      <c r="E158" s="27" t="s">
        <v>160</v>
      </c>
      <c r="F158" t="s">
        <v>40</v>
      </c>
      <c r="G158" s="47"/>
      <c r="H158" s="54"/>
      <c r="I158" s="63" t="s">
        <v>1005</v>
      </c>
      <c r="J158" t="str">
        <f>CONCATENATE(Tabla1[[#This Row],[OBRA]],"/",Tabla1[[#This Row],[CODIGO ENSAYO]])</f>
        <v>14-1/4-5</v>
      </c>
      <c r="K158" s="2" t="str">
        <f>UPPER(TEXT(Tabla1[[#This Row],[FECHA INF]],"MMMM"))</f>
        <v>FEBRERO</v>
      </c>
      <c r="L15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137-23</v>
      </c>
    </row>
    <row r="159" spans="1:12" hidden="1" x14ac:dyDescent="0.25">
      <c r="A159" s="52">
        <v>44985</v>
      </c>
      <c r="B159" s="27" t="s">
        <v>12</v>
      </c>
      <c r="C159" s="2" t="s">
        <v>901</v>
      </c>
      <c r="D159" s="2">
        <v>1</v>
      </c>
      <c r="E159" s="27" t="s">
        <v>137</v>
      </c>
      <c r="F159" t="s">
        <v>240</v>
      </c>
      <c r="G159" s="47"/>
      <c r="H159" s="54"/>
      <c r="I159" s="63" t="s">
        <v>1005</v>
      </c>
      <c r="J159" t="str">
        <f>CONCATENATE(Tabla1[[#This Row],[OBRA]],"/",Tabla1[[#This Row],[CODIGO ENSAYO]])</f>
        <v>14-1/2-1</v>
      </c>
      <c r="K159" s="2" t="str">
        <f>UPPER(TEXT(Tabla1[[#This Row],[FECHA INF]],"MMMM"))</f>
        <v>FEBRERO</v>
      </c>
      <c r="L15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138-23</v>
      </c>
    </row>
    <row r="160" spans="1:12" hidden="1" x14ac:dyDescent="0.25">
      <c r="A160" s="52">
        <v>44985</v>
      </c>
      <c r="B160" s="27" t="s">
        <v>12</v>
      </c>
      <c r="C160" s="2" t="s">
        <v>901</v>
      </c>
      <c r="D160" s="2">
        <v>1</v>
      </c>
      <c r="E160" s="27" t="s">
        <v>138</v>
      </c>
      <c r="F160" t="s">
        <v>23</v>
      </c>
      <c r="G160" s="47"/>
      <c r="H160" s="54"/>
      <c r="I160" s="63" t="s">
        <v>1005</v>
      </c>
      <c r="J160" t="str">
        <f>CONCATENATE(Tabla1[[#This Row],[OBRA]],"/",Tabla1[[#This Row],[CODIGO ENSAYO]])</f>
        <v>14-1/2-2</v>
      </c>
      <c r="K160" s="2" t="str">
        <f>UPPER(TEXT(Tabla1[[#This Row],[FECHA INF]],"MMMM"))</f>
        <v>FEBRERO</v>
      </c>
      <c r="L16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138-23</v>
      </c>
    </row>
    <row r="161" spans="1:12" hidden="1" x14ac:dyDescent="0.25">
      <c r="A161" s="52">
        <v>44985</v>
      </c>
      <c r="B161" s="27" t="s">
        <v>12</v>
      </c>
      <c r="C161" s="2" t="s">
        <v>901</v>
      </c>
      <c r="D161" s="2">
        <v>1</v>
      </c>
      <c r="E161" s="27" t="s">
        <v>139</v>
      </c>
      <c r="F161" t="s">
        <v>468</v>
      </c>
      <c r="G161" s="47"/>
      <c r="H161" s="54"/>
      <c r="I161" s="63" t="s">
        <v>1005</v>
      </c>
      <c r="J161" t="str">
        <f>CONCATENATE(Tabla1[[#This Row],[OBRA]],"/",Tabla1[[#This Row],[CODIGO ENSAYO]])</f>
        <v>14-1/2-3</v>
      </c>
      <c r="K161" s="2" t="str">
        <f>UPPER(TEXT(Tabla1[[#This Row],[FECHA INF]],"MMMM"))</f>
        <v>FEBRERO</v>
      </c>
      <c r="L16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138-23</v>
      </c>
    </row>
    <row r="162" spans="1:12" hidden="1" x14ac:dyDescent="0.25">
      <c r="A162" s="52">
        <v>44985</v>
      </c>
      <c r="B162" s="27" t="s">
        <v>12</v>
      </c>
      <c r="C162" s="2" t="s">
        <v>902</v>
      </c>
      <c r="D162" s="2">
        <v>1</v>
      </c>
      <c r="E162" s="27" t="s">
        <v>163</v>
      </c>
      <c r="F162" t="s">
        <v>2</v>
      </c>
      <c r="G162" s="47"/>
      <c r="H162" s="54"/>
      <c r="I162" s="63" t="s">
        <v>1005</v>
      </c>
      <c r="J162" t="str">
        <f>CONCATENATE(Tabla1[[#This Row],[OBRA]],"/",Tabla1[[#This Row],[CODIGO ENSAYO]])</f>
        <v>14-1/4-9</v>
      </c>
      <c r="K162" s="2" t="str">
        <f>UPPER(TEXT(Tabla1[[#This Row],[FECHA INF]],"MMMM"))</f>
        <v>FEBRERO</v>
      </c>
      <c r="L16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139-23</v>
      </c>
    </row>
    <row r="163" spans="1:12" hidden="1" x14ac:dyDescent="0.25">
      <c r="A163" s="52">
        <v>44985</v>
      </c>
      <c r="B163" s="27" t="s">
        <v>12</v>
      </c>
      <c r="C163" s="2" t="s">
        <v>903</v>
      </c>
      <c r="D163" s="2">
        <v>1</v>
      </c>
      <c r="E163" s="27" t="s">
        <v>169</v>
      </c>
      <c r="F163" t="s">
        <v>47</v>
      </c>
      <c r="G163" s="47"/>
      <c r="H163" s="54"/>
      <c r="I163" s="63" t="s">
        <v>1005</v>
      </c>
      <c r="J163" t="str">
        <f>CONCATENATE(Tabla1[[#This Row],[OBRA]],"/",Tabla1[[#This Row],[CODIGO ENSAYO]])</f>
        <v>14-1/4-15</v>
      </c>
      <c r="K163" s="2" t="str">
        <f>UPPER(TEXT(Tabla1[[#This Row],[FECHA INF]],"MMMM"))</f>
        <v>FEBRERO</v>
      </c>
      <c r="L16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140-23</v>
      </c>
    </row>
    <row r="164" spans="1:12" hidden="1" x14ac:dyDescent="0.25">
      <c r="A164" s="52">
        <v>44985</v>
      </c>
      <c r="B164" s="27" t="s">
        <v>12</v>
      </c>
      <c r="C164" s="2" t="s">
        <v>904</v>
      </c>
      <c r="D164" s="2">
        <v>1</v>
      </c>
      <c r="E164" s="27" t="s">
        <v>159</v>
      </c>
      <c r="F164" t="s">
        <v>39</v>
      </c>
      <c r="G164" s="47"/>
      <c r="H164" s="54"/>
      <c r="I164" s="63" t="s">
        <v>1005</v>
      </c>
      <c r="J164" t="str">
        <f>CONCATENATE(Tabla1[[#This Row],[OBRA]],"/",Tabla1[[#This Row],[CODIGO ENSAYO]])</f>
        <v>14-1/4-4</v>
      </c>
      <c r="K164" s="2" t="str">
        <f>UPPER(TEXT(Tabla1[[#This Row],[FECHA INF]],"MMMM"))</f>
        <v>FEBRERO</v>
      </c>
      <c r="L16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141-23</v>
      </c>
    </row>
    <row r="165" spans="1:12" hidden="1" x14ac:dyDescent="0.25">
      <c r="A165" s="52">
        <v>44985</v>
      </c>
      <c r="B165" s="27" t="s">
        <v>12</v>
      </c>
      <c r="C165" s="2" t="s">
        <v>905</v>
      </c>
      <c r="D165" s="2">
        <v>1</v>
      </c>
      <c r="E165" s="27" t="s">
        <v>157</v>
      </c>
      <c r="F165" t="s">
        <v>37</v>
      </c>
      <c r="G165" s="47"/>
      <c r="H165" s="54"/>
      <c r="I165" s="63" t="s">
        <v>1005</v>
      </c>
      <c r="J165" t="str">
        <f>CONCATENATE(Tabla1[[#This Row],[OBRA]],"/",Tabla1[[#This Row],[CODIGO ENSAYO]])</f>
        <v>14-1/4-2</v>
      </c>
      <c r="K165" s="2" t="str">
        <f>UPPER(TEXT(Tabla1[[#This Row],[FECHA INF]],"MMMM"))</f>
        <v>FEBRERO</v>
      </c>
      <c r="L16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142-23</v>
      </c>
    </row>
    <row r="166" spans="1:12" hidden="1" x14ac:dyDescent="0.25">
      <c r="A166" s="52">
        <v>44985</v>
      </c>
      <c r="B166" s="27" t="s">
        <v>12</v>
      </c>
      <c r="C166" s="2" t="s">
        <v>906</v>
      </c>
      <c r="D166" s="2">
        <v>1</v>
      </c>
      <c r="E166" s="27" t="s">
        <v>160</v>
      </c>
      <c r="F166" t="s">
        <v>40</v>
      </c>
      <c r="G166" s="47"/>
      <c r="H166" s="54"/>
      <c r="I166" s="63" t="s">
        <v>1005</v>
      </c>
      <c r="J166" t="str">
        <f>CONCATENATE(Tabla1[[#This Row],[OBRA]],"/",Tabla1[[#This Row],[CODIGO ENSAYO]])</f>
        <v>14-1/4-5</v>
      </c>
      <c r="K166" s="2" t="str">
        <f>UPPER(TEXT(Tabla1[[#This Row],[FECHA INF]],"MMMM"))</f>
        <v>FEBRERO</v>
      </c>
      <c r="L16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143-23</v>
      </c>
    </row>
    <row r="167" spans="1:12" hidden="1" x14ac:dyDescent="0.25">
      <c r="A167" s="52">
        <v>44985</v>
      </c>
      <c r="B167" s="27" t="s">
        <v>12</v>
      </c>
      <c r="C167" s="2" t="s">
        <v>907</v>
      </c>
      <c r="D167" s="2">
        <v>1</v>
      </c>
      <c r="E167" s="27" t="s">
        <v>137</v>
      </c>
      <c r="F167" t="s">
        <v>240</v>
      </c>
      <c r="G167" s="47"/>
      <c r="H167" s="54"/>
      <c r="I167" s="63" t="s">
        <v>1005</v>
      </c>
      <c r="J167" t="str">
        <f>CONCATENATE(Tabla1[[#This Row],[OBRA]],"/",Tabla1[[#This Row],[CODIGO ENSAYO]])</f>
        <v>14-1/2-1</v>
      </c>
      <c r="K167" s="2" t="str">
        <f>UPPER(TEXT(Tabla1[[#This Row],[FECHA INF]],"MMMM"))</f>
        <v>FEBRERO</v>
      </c>
      <c r="L16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144-23</v>
      </c>
    </row>
    <row r="168" spans="1:12" hidden="1" x14ac:dyDescent="0.25">
      <c r="A168" s="52">
        <v>44985</v>
      </c>
      <c r="B168" s="27" t="s">
        <v>12</v>
      </c>
      <c r="C168" s="2" t="s">
        <v>907</v>
      </c>
      <c r="D168" s="2">
        <v>1</v>
      </c>
      <c r="E168" s="27" t="s">
        <v>138</v>
      </c>
      <c r="F168" t="s">
        <v>23</v>
      </c>
      <c r="G168" s="47"/>
      <c r="H168" s="54"/>
      <c r="I168" s="63" t="s">
        <v>1005</v>
      </c>
      <c r="J168" t="str">
        <f>CONCATENATE(Tabla1[[#This Row],[OBRA]],"/",Tabla1[[#This Row],[CODIGO ENSAYO]])</f>
        <v>14-1/2-2</v>
      </c>
      <c r="K168" s="2" t="str">
        <f>UPPER(TEXT(Tabla1[[#This Row],[FECHA INF]],"MMMM"))</f>
        <v>FEBRERO</v>
      </c>
      <c r="L16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144-23</v>
      </c>
    </row>
    <row r="169" spans="1:12" hidden="1" x14ac:dyDescent="0.25">
      <c r="A169" s="52">
        <v>44985</v>
      </c>
      <c r="B169" s="27" t="s">
        <v>12</v>
      </c>
      <c r="C169" s="2" t="s">
        <v>907</v>
      </c>
      <c r="D169" s="2">
        <v>1</v>
      </c>
      <c r="E169" s="27" t="s">
        <v>139</v>
      </c>
      <c r="F169" t="s">
        <v>468</v>
      </c>
      <c r="G169" s="47"/>
      <c r="H169" s="54"/>
      <c r="I169" s="63" t="s">
        <v>1005</v>
      </c>
      <c r="J169" t="str">
        <f>CONCATENATE(Tabla1[[#This Row],[OBRA]],"/",Tabla1[[#This Row],[CODIGO ENSAYO]])</f>
        <v>14-1/2-3</v>
      </c>
      <c r="K169" s="2" t="str">
        <f>UPPER(TEXT(Tabla1[[#This Row],[FECHA INF]],"MMMM"))</f>
        <v>FEBRERO</v>
      </c>
      <c r="L16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144-23</v>
      </c>
    </row>
    <row r="170" spans="1:12" hidden="1" x14ac:dyDescent="0.25">
      <c r="A170" s="52">
        <v>44985</v>
      </c>
      <c r="B170" s="27" t="s">
        <v>12</v>
      </c>
      <c r="C170" s="2" t="s">
        <v>908</v>
      </c>
      <c r="D170" s="2">
        <v>1</v>
      </c>
      <c r="E170" s="27" t="s">
        <v>163</v>
      </c>
      <c r="F170" t="s">
        <v>2</v>
      </c>
      <c r="G170" s="47"/>
      <c r="H170" s="54"/>
      <c r="I170" s="63" t="s">
        <v>1005</v>
      </c>
      <c r="J170" t="str">
        <f>CONCATENATE(Tabla1[[#This Row],[OBRA]],"/",Tabla1[[#This Row],[CODIGO ENSAYO]])</f>
        <v>14-1/4-9</v>
      </c>
      <c r="K170" s="2" t="str">
        <f>UPPER(TEXT(Tabla1[[#This Row],[FECHA INF]],"MMMM"))</f>
        <v>FEBRERO</v>
      </c>
      <c r="L17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145-23</v>
      </c>
    </row>
    <row r="171" spans="1:12" hidden="1" x14ac:dyDescent="0.25">
      <c r="A171" s="52">
        <v>44985</v>
      </c>
      <c r="B171" s="27" t="s">
        <v>12</v>
      </c>
      <c r="C171" s="2" t="s">
        <v>909</v>
      </c>
      <c r="D171" s="2">
        <v>1</v>
      </c>
      <c r="E171" s="27" t="s">
        <v>169</v>
      </c>
      <c r="F171" t="s">
        <v>47</v>
      </c>
      <c r="G171" s="47"/>
      <c r="H171" s="54"/>
      <c r="I171" s="63" t="s">
        <v>1005</v>
      </c>
      <c r="J171" t="str">
        <f>CONCATENATE(Tabla1[[#This Row],[OBRA]],"/",Tabla1[[#This Row],[CODIGO ENSAYO]])</f>
        <v>14-1/4-15</v>
      </c>
      <c r="K171" s="2" t="str">
        <f>UPPER(TEXT(Tabla1[[#This Row],[FECHA INF]],"MMMM"))</f>
        <v>FEBRERO</v>
      </c>
      <c r="L17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146-23</v>
      </c>
    </row>
    <row r="172" spans="1:12" hidden="1" x14ac:dyDescent="0.25">
      <c r="A172" s="52">
        <v>44985</v>
      </c>
      <c r="B172" s="27" t="s">
        <v>12</v>
      </c>
      <c r="C172" s="2" t="s">
        <v>910</v>
      </c>
      <c r="D172" s="2">
        <v>1</v>
      </c>
      <c r="E172" s="27" t="s">
        <v>159</v>
      </c>
      <c r="F172" t="s">
        <v>39</v>
      </c>
      <c r="G172" s="47"/>
      <c r="H172" s="54"/>
      <c r="I172" s="63" t="s">
        <v>1005</v>
      </c>
      <c r="J172" t="str">
        <f>CONCATENATE(Tabla1[[#This Row],[OBRA]],"/",Tabla1[[#This Row],[CODIGO ENSAYO]])</f>
        <v>14-1/4-4</v>
      </c>
      <c r="K172" s="2" t="str">
        <f>UPPER(TEXT(Tabla1[[#This Row],[FECHA INF]],"MMMM"))</f>
        <v>FEBRERO</v>
      </c>
      <c r="L17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147-23</v>
      </c>
    </row>
    <row r="173" spans="1:12" hidden="1" x14ac:dyDescent="0.25">
      <c r="A173" s="52">
        <v>44985</v>
      </c>
      <c r="B173" s="27" t="s">
        <v>12</v>
      </c>
      <c r="C173" s="2" t="s">
        <v>911</v>
      </c>
      <c r="D173" s="2">
        <v>1</v>
      </c>
      <c r="E173" s="27" t="s">
        <v>157</v>
      </c>
      <c r="F173" t="s">
        <v>37</v>
      </c>
      <c r="G173" s="47"/>
      <c r="H173" s="54"/>
      <c r="I173" s="63" t="s">
        <v>1005</v>
      </c>
      <c r="J173" t="str">
        <f>CONCATENATE(Tabla1[[#This Row],[OBRA]],"/",Tabla1[[#This Row],[CODIGO ENSAYO]])</f>
        <v>14-1/4-2</v>
      </c>
      <c r="K173" s="2" t="str">
        <f>UPPER(TEXT(Tabla1[[#This Row],[FECHA INF]],"MMMM"))</f>
        <v>FEBRERO</v>
      </c>
      <c r="L17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148-23</v>
      </c>
    </row>
    <row r="174" spans="1:12" hidden="1" x14ac:dyDescent="0.25">
      <c r="A174" s="52">
        <v>44985</v>
      </c>
      <c r="B174" s="27" t="s">
        <v>12</v>
      </c>
      <c r="C174" s="2" t="s">
        <v>912</v>
      </c>
      <c r="D174" s="2">
        <v>1</v>
      </c>
      <c r="E174" s="27" t="s">
        <v>160</v>
      </c>
      <c r="F174" t="s">
        <v>40</v>
      </c>
      <c r="G174" s="47"/>
      <c r="H174" s="54"/>
      <c r="I174" s="63" t="s">
        <v>1005</v>
      </c>
      <c r="J174" t="str">
        <f>CONCATENATE(Tabla1[[#This Row],[OBRA]],"/",Tabla1[[#This Row],[CODIGO ENSAYO]])</f>
        <v>14-1/4-5</v>
      </c>
      <c r="K174" s="2" t="str">
        <f>UPPER(TEXT(Tabla1[[#This Row],[FECHA INF]],"MMMM"))</f>
        <v>FEBRERO</v>
      </c>
      <c r="L17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149-23</v>
      </c>
    </row>
    <row r="175" spans="1:12" hidden="1" x14ac:dyDescent="0.25">
      <c r="A175" s="52">
        <v>44985</v>
      </c>
      <c r="B175" s="27" t="s">
        <v>12</v>
      </c>
      <c r="C175" s="2" t="s">
        <v>913</v>
      </c>
      <c r="D175" s="2">
        <v>1</v>
      </c>
      <c r="E175" s="27" t="s">
        <v>166</v>
      </c>
      <c r="F175" t="s">
        <v>44</v>
      </c>
      <c r="G175" s="47"/>
      <c r="H175" s="54"/>
      <c r="I175" s="63" t="s">
        <v>1005</v>
      </c>
      <c r="J175" t="str">
        <f>CONCATENATE(Tabla1[[#This Row],[OBRA]],"/",Tabla1[[#This Row],[CODIGO ENSAYO]])</f>
        <v>14-1/4-12</v>
      </c>
      <c r="K175" s="2" t="str">
        <f>UPPER(TEXT(Tabla1[[#This Row],[FECHA INF]],"MMMM"))</f>
        <v>FEBRERO</v>
      </c>
      <c r="L17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150-23</v>
      </c>
    </row>
    <row r="176" spans="1:12" hidden="1" x14ac:dyDescent="0.25">
      <c r="A176" s="52">
        <v>44985</v>
      </c>
      <c r="B176" s="27" t="s">
        <v>522</v>
      </c>
      <c r="C176" s="2" t="s">
        <v>931</v>
      </c>
      <c r="D176" s="2">
        <v>3</v>
      </c>
      <c r="E176" s="27" t="s">
        <v>123</v>
      </c>
      <c r="F176" t="s">
        <v>15</v>
      </c>
      <c r="G176" s="47"/>
      <c r="H176" s="54"/>
      <c r="I176" s="63" t="s">
        <v>1005</v>
      </c>
      <c r="J176" t="str">
        <f>CONCATENATE(Tabla1[[#This Row],[OBRA]],"/",Tabla1[[#This Row],[CODIGO ENSAYO]])</f>
        <v>17-1/1-1</v>
      </c>
      <c r="K176" s="2" t="str">
        <f>UPPER(TEXT(Tabla1[[#This Row],[FECHA INF]],"MMMM"))</f>
        <v>FEBRERO</v>
      </c>
      <c r="L17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152-23</v>
      </c>
    </row>
    <row r="177" spans="1:12" hidden="1" x14ac:dyDescent="0.25">
      <c r="A177" s="52">
        <v>44985</v>
      </c>
      <c r="B177" s="27" t="s">
        <v>522</v>
      </c>
      <c r="C177" s="2" t="s">
        <v>932</v>
      </c>
      <c r="D177" s="2">
        <v>3</v>
      </c>
      <c r="E177" s="27" t="s">
        <v>123</v>
      </c>
      <c r="F177" t="s">
        <v>15</v>
      </c>
      <c r="G177" s="47"/>
      <c r="H177" s="54"/>
      <c r="I177" s="63" t="s">
        <v>1005</v>
      </c>
      <c r="J177" t="str">
        <f>CONCATENATE(Tabla1[[#This Row],[OBRA]],"/",Tabla1[[#This Row],[CODIGO ENSAYO]])</f>
        <v>17-1/1-1</v>
      </c>
      <c r="K177" s="2" t="str">
        <f>UPPER(TEXT(Tabla1[[#This Row],[FECHA INF]],"MMMM"))</f>
        <v>FEBRERO</v>
      </c>
      <c r="L17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154-23</v>
      </c>
    </row>
    <row r="178" spans="1:12" hidden="1" x14ac:dyDescent="0.25">
      <c r="A178" s="52">
        <v>45015</v>
      </c>
      <c r="B178" s="27" t="s">
        <v>304</v>
      </c>
      <c r="C178" s="2" t="s">
        <v>958</v>
      </c>
      <c r="D178" s="2">
        <v>1</v>
      </c>
      <c r="E178" s="27" t="s">
        <v>137</v>
      </c>
      <c r="F178" t="s">
        <v>240</v>
      </c>
      <c r="G178" s="47"/>
      <c r="H178" s="54"/>
      <c r="I178" s="63" t="s">
        <v>1005</v>
      </c>
      <c r="J178" t="str">
        <f>CONCATENATE(Tabla1[[#This Row],[OBRA]],"/",Tabla1[[#This Row],[CODIGO ENSAYO]])</f>
        <v>15-1/2-1</v>
      </c>
      <c r="K178" s="2" t="str">
        <f>UPPER(TEXT(Tabla1[[#This Row],[FECHA INF]],"MMMM"))</f>
        <v>MARZO</v>
      </c>
      <c r="L17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163-23</v>
      </c>
    </row>
    <row r="179" spans="1:12" hidden="1" x14ac:dyDescent="0.25">
      <c r="A179" s="52">
        <v>45015</v>
      </c>
      <c r="B179" s="27" t="s">
        <v>304</v>
      </c>
      <c r="C179" s="2" t="s">
        <v>958</v>
      </c>
      <c r="D179" s="2">
        <v>1</v>
      </c>
      <c r="E179" s="27" t="s">
        <v>138</v>
      </c>
      <c r="F179" t="s">
        <v>23</v>
      </c>
      <c r="G179" s="47"/>
      <c r="H179" s="54"/>
      <c r="I179" s="63" t="s">
        <v>1005</v>
      </c>
      <c r="J179" t="str">
        <f>CONCATENATE(Tabla1[[#This Row],[OBRA]],"/",Tabla1[[#This Row],[CODIGO ENSAYO]])</f>
        <v>15-1/2-2</v>
      </c>
      <c r="K179" s="2" t="str">
        <f>UPPER(TEXT(Tabla1[[#This Row],[FECHA INF]],"MMMM"))</f>
        <v>MARZO</v>
      </c>
      <c r="L17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163-23</v>
      </c>
    </row>
    <row r="180" spans="1:12" hidden="1" x14ac:dyDescent="0.25">
      <c r="A180" s="52">
        <v>45015</v>
      </c>
      <c r="B180" s="27" t="s">
        <v>304</v>
      </c>
      <c r="C180" s="2" t="s">
        <v>958</v>
      </c>
      <c r="D180" s="2">
        <v>1</v>
      </c>
      <c r="E180" s="27" t="s">
        <v>139</v>
      </c>
      <c r="F180" t="s">
        <v>468</v>
      </c>
      <c r="G180" s="47"/>
      <c r="H180" s="54"/>
      <c r="I180" s="63" t="s">
        <v>1005</v>
      </c>
      <c r="J180" t="str">
        <f>CONCATENATE(Tabla1[[#This Row],[OBRA]],"/",Tabla1[[#This Row],[CODIGO ENSAYO]])</f>
        <v>15-1/2-3</v>
      </c>
      <c r="K180" s="2" t="str">
        <f>UPPER(TEXT(Tabla1[[#This Row],[FECHA INF]],"MMMM"))</f>
        <v>MARZO</v>
      </c>
      <c r="L18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163-23</v>
      </c>
    </row>
    <row r="181" spans="1:12" hidden="1" x14ac:dyDescent="0.25">
      <c r="A181" s="52">
        <v>45015</v>
      </c>
      <c r="B181" s="27" t="s">
        <v>304</v>
      </c>
      <c r="C181" s="2" t="s">
        <v>959</v>
      </c>
      <c r="D181" s="2">
        <v>1</v>
      </c>
      <c r="E181" s="27" t="s">
        <v>163</v>
      </c>
      <c r="F181" t="s">
        <v>2</v>
      </c>
      <c r="G181" s="47"/>
      <c r="H181" s="54"/>
      <c r="I181" s="63" t="s">
        <v>1005</v>
      </c>
      <c r="J181" t="str">
        <f>CONCATENATE(Tabla1[[#This Row],[OBRA]],"/",Tabla1[[#This Row],[CODIGO ENSAYO]])</f>
        <v>15-1/4-9</v>
      </c>
      <c r="K181" s="2" t="str">
        <f>UPPER(TEXT(Tabla1[[#This Row],[FECHA INF]],"MMMM"))</f>
        <v>MARZO</v>
      </c>
      <c r="L18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164-23</v>
      </c>
    </row>
    <row r="182" spans="1:12" hidden="1" x14ac:dyDescent="0.25">
      <c r="A182" s="52">
        <v>45015</v>
      </c>
      <c r="B182" s="27" t="s">
        <v>304</v>
      </c>
      <c r="C182" s="2" t="s">
        <v>960</v>
      </c>
      <c r="D182" s="2">
        <v>1</v>
      </c>
      <c r="E182" s="27" t="s">
        <v>169</v>
      </c>
      <c r="F182" t="s">
        <v>47</v>
      </c>
      <c r="G182" s="47"/>
      <c r="H182" s="54"/>
      <c r="I182" s="63" t="s">
        <v>1005</v>
      </c>
      <c r="J182" t="str">
        <f>CONCATENATE(Tabla1[[#This Row],[OBRA]],"/",Tabla1[[#This Row],[CODIGO ENSAYO]])</f>
        <v>15-1/4-15</v>
      </c>
      <c r="K182" s="2" t="str">
        <f>UPPER(TEXT(Tabla1[[#This Row],[FECHA INF]],"MMMM"))</f>
        <v>MARZO</v>
      </c>
      <c r="L18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165-23</v>
      </c>
    </row>
    <row r="183" spans="1:12" hidden="1" x14ac:dyDescent="0.25">
      <c r="A183" s="52">
        <v>45015</v>
      </c>
      <c r="B183" s="27" t="s">
        <v>304</v>
      </c>
      <c r="C183" s="2" t="s">
        <v>961</v>
      </c>
      <c r="D183" s="2">
        <v>1</v>
      </c>
      <c r="E183" s="27" t="s">
        <v>166</v>
      </c>
      <c r="F183" t="s">
        <v>44</v>
      </c>
      <c r="G183" s="47"/>
      <c r="H183" s="54"/>
      <c r="I183" s="63" t="s">
        <v>1005</v>
      </c>
      <c r="J183" t="str">
        <f>CONCATENATE(Tabla1[[#This Row],[OBRA]],"/",Tabla1[[#This Row],[CODIGO ENSAYO]])</f>
        <v>15-1/4-12</v>
      </c>
      <c r="K183" s="2" t="str">
        <f>UPPER(TEXT(Tabla1[[#This Row],[FECHA INF]],"MMMM"))</f>
        <v>MARZO</v>
      </c>
      <c r="L18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166-23</v>
      </c>
    </row>
    <row r="184" spans="1:12" hidden="1" x14ac:dyDescent="0.25">
      <c r="A184" s="52">
        <v>45015</v>
      </c>
      <c r="B184" s="27" t="s">
        <v>304</v>
      </c>
      <c r="C184" s="2" t="s">
        <v>962</v>
      </c>
      <c r="D184" s="2">
        <v>1</v>
      </c>
      <c r="E184" s="27" t="s">
        <v>168</v>
      </c>
      <c r="F184" t="s">
        <v>46</v>
      </c>
      <c r="G184" s="47"/>
      <c r="H184" s="54"/>
      <c r="I184" s="63" t="s">
        <v>1005</v>
      </c>
      <c r="J184" t="str">
        <f>CONCATENATE(Tabla1[[#This Row],[OBRA]],"/",Tabla1[[#This Row],[CODIGO ENSAYO]])</f>
        <v>15-1/4-14</v>
      </c>
      <c r="K184" s="2" t="str">
        <f>UPPER(TEXT(Tabla1[[#This Row],[FECHA INF]],"MMMM"))</f>
        <v>MARZO</v>
      </c>
      <c r="L18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167-23</v>
      </c>
    </row>
    <row r="185" spans="1:12" hidden="1" x14ac:dyDescent="0.25">
      <c r="A185" s="52">
        <v>45015</v>
      </c>
      <c r="B185" s="27" t="s">
        <v>304</v>
      </c>
      <c r="C185" s="2" t="s">
        <v>963</v>
      </c>
      <c r="D185" s="2">
        <v>1</v>
      </c>
      <c r="E185" s="27" t="s">
        <v>333</v>
      </c>
      <c r="F185" t="s">
        <v>334</v>
      </c>
      <c r="G185" s="47"/>
      <c r="H185" s="54"/>
      <c r="I185" s="63" t="s">
        <v>1005</v>
      </c>
      <c r="J185" t="str">
        <f>CONCATENATE(Tabla1[[#This Row],[OBRA]],"/",Tabla1[[#This Row],[CODIGO ENSAYO]])</f>
        <v>15-1/4-16</v>
      </c>
      <c r="K185" s="2" t="str">
        <f>UPPER(TEXT(Tabla1[[#This Row],[FECHA INF]],"MMMM"))</f>
        <v>MARZO</v>
      </c>
      <c r="L18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168-23</v>
      </c>
    </row>
    <row r="186" spans="1:12" hidden="1" x14ac:dyDescent="0.25">
      <c r="A186" s="52">
        <v>45015</v>
      </c>
      <c r="B186" s="27" t="s">
        <v>304</v>
      </c>
      <c r="C186" s="2" t="s">
        <v>964</v>
      </c>
      <c r="D186" s="2">
        <v>1</v>
      </c>
      <c r="E186" s="27" t="s">
        <v>162</v>
      </c>
      <c r="F186" t="s">
        <v>41</v>
      </c>
      <c r="G186" s="47"/>
      <c r="H186" s="54"/>
      <c r="I186" s="63" t="s">
        <v>1005</v>
      </c>
      <c r="J186" t="str">
        <f>CONCATENATE(Tabla1[[#This Row],[OBRA]],"/",Tabla1[[#This Row],[CODIGO ENSAYO]])</f>
        <v>15-1/4-8</v>
      </c>
      <c r="K186" s="2" t="str">
        <f>UPPER(TEXT(Tabla1[[#This Row],[FECHA INF]],"MMMM"))</f>
        <v>MARZO</v>
      </c>
      <c r="L18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169-23</v>
      </c>
    </row>
    <row r="187" spans="1:12" hidden="1" x14ac:dyDescent="0.25">
      <c r="A187" s="52">
        <v>45015</v>
      </c>
      <c r="B187" s="27" t="s">
        <v>304</v>
      </c>
      <c r="C187" s="2" t="s">
        <v>965</v>
      </c>
      <c r="D187" s="2">
        <v>1</v>
      </c>
      <c r="E187" s="27" t="s">
        <v>162</v>
      </c>
      <c r="F187" t="s">
        <v>41</v>
      </c>
      <c r="G187" s="47"/>
      <c r="H187" s="54"/>
      <c r="I187" s="63" t="s">
        <v>1005</v>
      </c>
      <c r="J187" t="str">
        <f>CONCATENATE(Tabla1[[#This Row],[OBRA]],"/",Tabla1[[#This Row],[CODIGO ENSAYO]])</f>
        <v>15-1/4-8</v>
      </c>
      <c r="K187" s="2" t="str">
        <f>UPPER(TEXT(Tabla1[[#This Row],[FECHA INF]],"MMMM"))</f>
        <v>MARZO</v>
      </c>
      <c r="L18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170-23</v>
      </c>
    </row>
    <row r="188" spans="1:12" hidden="1" x14ac:dyDescent="0.25">
      <c r="A188" s="52">
        <v>45015</v>
      </c>
      <c r="B188" s="27" t="s">
        <v>304</v>
      </c>
      <c r="C188" s="2" t="s">
        <v>966</v>
      </c>
      <c r="D188" s="2">
        <v>1</v>
      </c>
      <c r="E188" s="27" t="s">
        <v>160</v>
      </c>
      <c r="F188" t="s">
        <v>40</v>
      </c>
      <c r="G188" s="47"/>
      <c r="H188" s="54"/>
      <c r="I188" s="63" t="s">
        <v>1005</v>
      </c>
      <c r="J188" t="str">
        <f>CONCATENATE(Tabla1[[#This Row],[OBRA]],"/",Tabla1[[#This Row],[CODIGO ENSAYO]])</f>
        <v>15-1/4-5</v>
      </c>
      <c r="K188" s="2" t="str">
        <f>UPPER(TEXT(Tabla1[[#This Row],[FECHA INF]],"MMMM"))</f>
        <v>MARZO</v>
      </c>
      <c r="L18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171-23</v>
      </c>
    </row>
    <row r="189" spans="1:12" hidden="1" x14ac:dyDescent="0.25">
      <c r="A189" s="52">
        <v>45015</v>
      </c>
      <c r="B189" s="27" t="s">
        <v>304</v>
      </c>
      <c r="C189" s="2" t="s">
        <v>967</v>
      </c>
      <c r="D189" s="2">
        <v>1</v>
      </c>
      <c r="E189" s="27" t="s">
        <v>164</v>
      </c>
      <c r="F189" t="s">
        <v>42</v>
      </c>
      <c r="G189" s="47"/>
      <c r="H189" s="54"/>
      <c r="I189" s="63" t="s">
        <v>1005</v>
      </c>
      <c r="J189" t="str">
        <f>CONCATENATE(Tabla1[[#This Row],[OBRA]],"/",Tabla1[[#This Row],[CODIGO ENSAYO]])</f>
        <v>15-1/4-10</v>
      </c>
      <c r="K189" s="2" t="str">
        <f>UPPER(TEXT(Tabla1[[#This Row],[FECHA INF]],"MMMM"))</f>
        <v>MARZO</v>
      </c>
      <c r="L18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172-23</v>
      </c>
    </row>
    <row r="190" spans="1:12" hidden="1" x14ac:dyDescent="0.25">
      <c r="A190" s="52">
        <v>45015</v>
      </c>
      <c r="B190" s="27" t="s">
        <v>304</v>
      </c>
      <c r="C190" s="2" t="s">
        <v>967</v>
      </c>
      <c r="D190" s="2">
        <v>1</v>
      </c>
      <c r="E190" s="27" t="s">
        <v>165</v>
      </c>
      <c r="F190" t="s">
        <v>43</v>
      </c>
      <c r="G190" s="47"/>
      <c r="H190" s="54"/>
      <c r="I190" s="63" t="s">
        <v>1005</v>
      </c>
      <c r="J190" t="str">
        <f>CONCATENATE(Tabla1[[#This Row],[OBRA]],"/",Tabla1[[#This Row],[CODIGO ENSAYO]])</f>
        <v>15-1/4-11</v>
      </c>
      <c r="K190" s="2" t="str">
        <f>UPPER(TEXT(Tabla1[[#This Row],[FECHA INF]],"MMMM"))</f>
        <v>MARZO</v>
      </c>
      <c r="L19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172-23</v>
      </c>
    </row>
    <row r="191" spans="1:12" hidden="1" x14ac:dyDescent="0.25">
      <c r="A191" s="52">
        <v>45015</v>
      </c>
      <c r="B191" s="27" t="s">
        <v>304</v>
      </c>
      <c r="C191" s="2" t="s">
        <v>968</v>
      </c>
      <c r="D191" s="2">
        <v>1</v>
      </c>
      <c r="E191" s="27" t="s">
        <v>161</v>
      </c>
      <c r="F191" t="s">
        <v>407</v>
      </c>
      <c r="G191" s="47"/>
      <c r="H191" s="54"/>
      <c r="I191" s="63" t="s">
        <v>1005</v>
      </c>
      <c r="J191" t="str">
        <f>CONCATENATE(Tabla1[[#This Row],[OBRA]],"/",Tabla1[[#This Row],[CODIGO ENSAYO]])</f>
        <v>15-1/4-7</v>
      </c>
      <c r="K191" s="2" t="str">
        <f>UPPER(TEXT(Tabla1[[#This Row],[FECHA INF]],"MMMM"))</f>
        <v>MARZO</v>
      </c>
      <c r="L19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173-23</v>
      </c>
    </row>
    <row r="192" spans="1:12" hidden="1" x14ac:dyDescent="0.25">
      <c r="A192" s="52">
        <v>45015</v>
      </c>
      <c r="B192" s="27" t="s">
        <v>304</v>
      </c>
      <c r="C192" s="2" t="s">
        <v>969</v>
      </c>
      <c r="D192" s="2">
        <v>1</v>
      </c>
      <c r="E192" s="27" t="s">
        <v>140</v>
      </c>
      <c r="F192" t="s">
        <v>469</v>
      </c>
      <c r="G192" s="47"/>
      <c r="H192" s="54"/>
      <c r="I192" s="63" t="s">
        <v>1005</v>
      </c>
      <c r="J192" t="str">
        <f>CONCATENATE(Tabla1[[#This Row],[OBRA]],"/",Tabla1[[#This Row],[CODIGO ENSAYO]])</f>
        <v>15-1/2-4</v>
      </c>
      <c r="K192" s="2" t="str">
        <f>UPPER(TEXT(Tabla1[[#This Row],[FECHA INF]],"MMMM"))</f>
        <v>MARZO</v>
      </c>
      <c r="L19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174-23</v>
      </c>
    </row>
    <row r="193" spans="1:12" hidden="1" x14ac:dyDescent="0.25">
      <c r="A193" s="52">
        <v>45015</v>
      </c>
      <c r="B193" s="27" t="s">
        <v>304</v>
      </c>
      <c r="C193" s="2" t="s">
        <v>970</v>
      </c>
      <c r="D193" s="2">
        <v>1</v>
      </c>
      <c r="E193" s="27" t="s">
        <v>145</v>
      </c>
      <c r="F193" t="s">
        <v>281</v>
      </c>
      <c r="G193" s="47"/>
      <c r="H193" s="54"/>
      <c r="I193" s="63" t="s">
        <v>1005</v>
      </c>
      <c r="J193" t="str">
        <f>CONCATENATE(Tabla1[[#This Row],[OBRA]],"/",Tabla1[[#This Row],[CODIGO ENSAYO]])</f>
        <v>15-1/2-9</v>
      </c>
      <c r="K193" s="2" t="str">
        <f>UPPER(TEXT(Tabla1[[#This Row],[FECHA INF]],"MMMM"))</f>
        <v>MARZO</v>
      </c>
      <c r="L19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175-23</v>
      </c>
    </row>
    <row r="194" spans="1:12" hidden="1" x14ac:dyDescent="0.25">
      <c r="A194" s="52">
        <v>45015</v>
      </c>
      <c r="B194" s="27" t="s">
        <v>304</v>
      </c>
      <c r="C194" s="2" t="s">
        <v>971</v>
      </c>
      <c r="D194" s="2">
        <v>1</v>
      </c>
      <c r="E194" s="27" t="s">
        <v>137</v>
      </c>
      <c r="F194" t="s">
        <v>240</v>
      </c>
      <c r="G194" s="47"/>
      <c r="H194" s="54"/>
      <c r="I194" s="63" t="s">
        <v>1005</v>
      </c>
      <c r="J194" t="str">
        <f>CONCATENATE(Tabla1[[#This Row],[OBRA]],"/",Tabla1[[#This Row],[CODIGO ENSAYO]])</f>
        <v>15-1/2-1</v>
      </c>
      <c r="K194" s="2" t="str">
        <f>UPPER(TEXT(Tabla1[[#This Row],[FECHA INF]],"MMMM"))</f>
        <v>MARZO</v>
      </c>
      <c r="L19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176-23</v>
      </c>
    </row>
    <row r="195" spans="1:12" hidden="1" x14ac:dyDescent="0.25">
      <c r="A195" s="52">
        <v>45015</v>
      </c>
      <c r="B195" s="27" t="s">
        <v>304</v>
      </c>
      <c r="C195" s="2" t="s">
        <v>971</v>
      </c>
      <c r="D195" s="2">
        <v>1</v>
      </c>
      <c r="E195" s="27" t="s">
        <v>138</v>
      </c>
      <c r="F195" t="s">
        <v>23</v>
      </c>
      <c r="G195" s="47"/>
      <c r="H195" s="54"/>
      <c r="I195" s="63" t="s">
        <v>1005</v>
      </c>
      <c r="J195" t="str">
        <f>CONCATENATE(Tabla1[[#This Row],[OBRA]],"/",Tabla1[[#This Row],[CODIGO ENSAYO]])</f>
        <v>15-1/2-2</v>
      </c>
      <c r="K195" s="2" t="str">
        <f>UPPER(TEXT(Tabla1[[#This Row],[FECHA INF]],"MMMM"))</f>
        <v>MARZO</v>
      </c>
      <c r="L19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176-23</v>
      </c>
    </row>
    <row r="196" spans="1:12" hidden="1" x14ac:dyDescent="0.25">
      <c r="A196" s="52">
        <v>45015</v>
      </c>
      <c r="B196" s="27" t="s">
        <v>304</v>
      </c>
      <c r="C196" s="2" t="s">
        <v>971</v>
      </c>
      <c r="D196" s="2">
        <v>1</v>
      </c>
      <c r="E196" s="27" t="s">
        <v>139</v>
      </c>
      <c r="F196" t="s">
        <v>468</v>
      </c>
      <c r="G196" s="47"/>
      <c r="H196" s="54"/>
      <c r="I196" s="63" t="s">
        <v>1005</v>
      </c>
      <c r="J196" t="str">
        <f>CONCATENATE(Tabla1[[#This Row],[OBRA]],"/",Tabla1[[#This Row],[CODIGO ENSAYO]])</f>
        <v>15-1/2-3</v>
      </c>
      <c r="K196" s="2" t="str">
        <f>UPPER(TEXT(Tabla1[[#This Row],[FECHA INF]],"MMMM"))</f>
        <v>MARZO</v>
      </c>
      <c r="L19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176-23</v>
      </c>
    </row>
    <row r="197" spans="1:12" hidden="1" x14ac:dyDescent="0.25">
      <c r="A197" s="52">
        <v>45015</v>
      </c>
      <c r="B197" s="27" t="s">
        <v>304</v>
      </c>
      <c r="C197" s="2" t="s">
        <v>971</v>
      </c>
      <c r="D197" s="2">
        <v>1</v>
      </c>
      <c r="E197" s="27" t="s">
        <v>163</v>
      </c>
      <c r="F197" t="s">
        <v>2</v>
      </c>
      <c r="G197" s="47"/>
      <c r="H197" s="54"/>
      <c r="I197" s="63" t="s">
        <v>1005</v>
      </c>
      <c r="J197" t="str">
        <f>CONCATENATE(Tabla1[[#This Row],[OBRA]],"/",Tabla1[[#This Row],[CODIGO ENSAYO]])</f>
        <v>15-1/4-9</v>
      </c>
      <c r="K197" s="2" t="str">
        <f>UPPER(TEXT(Tabla1[[#This Row],[FECHA INF]],"MMMM"))</f>
        <v>MARZO</v>
      </c>
      <c r="L19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176-23</v>
      </c>
    </row>
    <row r="198" spans="1:12" hidden="1" x14ac:dyDescent="0.25">
      <c r="A198" s="52">
        <v>45015</v>
      </c>
      <c r="B198" s="27" t="s">
        <v>304</v>
      </c>
      <c r="C198" s="2" t="s">
        <v>972</v>
      </c>
      <c r="D198" s="2">
        <v>1</v>
      </c>
      <c r="E198" s="27" t="s">
        <v>166</v>
      </c>
      <c r="F198" t="s">
        <v>44</v>
      </c>
      <c r="G198" s="47"/>
      <c r="H198" s="54"/>
      <c r="I198" s="63" t="s">
        <v>1005</v>
      </c>
      <c r="J198" t="str">
        <f>CONCATENATE(Tabla1[[#This Row],[OBRA]],"/",Tabla1[[#This Row],[CODIGO ENSAYO]])</f>
        <v>15-1/4-12</v>
      </c>
      <c r="K198" s="2" t="str">
        <f>UPPER(TEXT(Tabla1[[#This Row],[FECHA INF]],"MMMM"))</f>
        <v>MARZO</v>
      </c>
      <c r="L19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177-23</v>
      </c>
    </row>
    <row r="199" spans="1:12" hidden="1" x14ac:dyDescent="0.25">
      <c r="A199" s="52">
        <v>45015</v>
      </c>
      <c r="B199" s="27" t="s">
        <v>304</v>
      </c>
      <c r="C199" s="2" t="s">
        <v>973</v>
      </c>
      <c r="D199" s="2">
        <v>1</v>
      </c>
      <c r="E199" s="27" t="s">
        <v>168</v>
      </c>
      <c r="F199" t="s">
        <v>46</v>
      </c>
      <c r="G199" s="47"/>
      <c r="H199" s="54"/>
      <c r="I199" s="63" t="s">
        <v>1005</v>
      </c>
      <c r="J199" t="str">
        <f>CONCATENATE(Tabla1[[#This Row],[OBRA]],"/",Tabla1[[#This Row],[CODIGO ENSAYO]])</f>
        <v>15-1/4-14</v>
      </c>
      <c r="K199" s="2" t="str">
        <f>UPPER(TEXT(Tabla1[[#This Row],[FECHA INF]],"MMMM"))</f>
        <v>MARZO</v>
      </c>
      <c r="L19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178-23</v>
      </c>
    </row>
    <row r="200" spans="1:12" hidden="1" x14ac:dyDescent="0.25">
      <c r="A200" s="52">
        <v>45015</v>
      </c>
      <c r="B200" s="27" t="s">
        <v>304</v>
      </c>
      <c r="C200" s="2" t="s">
        <v>974</v>
      </c>
      <c r="D200" s="2">
        <v>1</v>
      </c>
      <c r="E200" s="27" t="s">
        <v>162</v>
      </c>
      <c r="F200" t="s">
        <v>41</v>
      </c>
      <c r="G200" s="47"/>
      <c r="H200" s="54"/>
      <c r="I200" s="63" t="s">
        <v>1005</v>
      </c>
      <c r="J200" t="str">
        <f>CONCATENATE(Tabla1[[#This Row],[OBRA]],"/",Tabla1[[#This Row],[CODIGO ENSAYO]])</f>
        <v>15-1/4-8</v>
      </c>
      <c r="K200" s="2" t="str">
        <f>UPPER(TEXT(Tabla1[[#This Row],[FECHA INF]],"MMMM"))</f>
        <v>MARZO</v>
      </c>
      <c r="L20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179-23</v>
      </c>
    </row>
    <row r="201" spans="1:12" hidden="1" x14ac:dyDescent="0.25">
      <c r="A201" s="52">
        <v>45015</v>
      </c>
      <c r="B201" s="27" t="s">
        <v>304</v>
      </c>
      <c r="C201" s="2" t="s">
        <v>975</v>
      </c>
      <c r="D201" s="2">
        <v>1</v>
      </c>
      <c r="E201" s="27" t="s">
        <v>162</v>
      </c>
      <c r="F201" t="s">
        <v>41</v>
      </c>
      <c r="G201" s="47"/>
      <c r="H201" s="54"/>
      <c r="I201" s="63" t="s">
        <v>1005</v>
      </c>
      <c r="J201" t="str">
        <f>CONCATENATE(Tabla1[[#This Row],[OBRA]],"/",Tabla1[[#This Row],[CODIGO ENSAYO]])</f>
        <v>15-1/4-8</v>
      </c>
      <c r="K201" s="2" t="str">
        <f>UPPER(TEXT(Tabla1[[#This Row],[FECHA INF]],"MMMM"))</f>
        <v>MARZO</v>
      </c>
      <c r="L20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180-23</v>
      </c>
    </row>
    <row r="202" spans="1:12" hidden="1" x14ac:dyDescent="0.25">
      <c r="A202" s="52">
        <v>45015</v>
      </c>
      <c r="B202" s="27" t="s">
        <v>304</v>
      </c>
      <c r="C202" s="2" t="s">
        <v>976</v>
      </c>
      <c r="D202" s="2">
        <v>1</v>
      </c>
      <c r="E202" s="27" t="s">
        <v>160</v>
      </c>
      <c r="F202" t="s">
        <v>40</v>
      </c>
      <c r="G202" s="47"/>
      <c r="H202" s="54"/>
      <c r="I202" s="63" t="s">
        <v>1005</v>
      </c>
      <c r="J202" t="str">
        <f>CONCATENATE(Tabla1[[#This Row],[OBRA]],"/",Tabla1[[#This Row],[CODIGO ENSAYO]])</f>
        <v>15-1/4-5</v>
      </c>
      <c r="K202" s="2" t="str">
        <f>UPPER(TEXT(Tabla1[[#This Row],[FECHA INF]],"MMMM"))</f>
        <v>MARZO</v>
      </c>
      <c r="L20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181-23</v>
      </c>
    </row>
    <row r="203" spans="1:12" hidden="1" x14ac:dyDescent="0.25">
      <c r="A203" s="52">
        <v>45015</v>
      </c>
      <c r="B203" s="27" t="s">
        <v>304</v>
      </c>
      <c r="C203" s="2" t="s">
        <v>977</v>
      </c>
      <c r="D203" s="2">
        <v>1</v>
      </c>
      <c r="E203" s="27" t="s">
        <v>140</v>
      </c>
      <c r="F203" t="s">
        <v>469</v>
      </c>
      <c r="G203" s="47"/>
      <c r="H203" s="54"/>
      <c r="I203" s="63" t="s">
        <v>1005</v>
      </c>
      <c r="J203" t="str">
        <f>CONCATENATE(Tabla1[[#This Row],[OBRA]],"/",Tabla1[[#This Row],[CODIGO ENSAYO]])</f>
        <v>15-1/2-4</v>
      </c>
      <c r="K203" s="2" t="str">
        <f>UPPER(TEXT(Tabla1[[#This Row],[FECHA INF]],"MMMM"))</f>
        <v>MARZO</v>
      </c>
      <c r="L20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182-23</v>
      </c>
    </row>
    <row r="204" spans="1:12" hidden="1" x14ac:dyDescent="0.25">
      <c r="A204" s="52">
        <v>45015</v>
      </c>
      <c r="B204" s="27" t="s">
        <v>304</v>
      </c>
      <c r="C204" s="2" t="s">
        <v>978</v>
      </c>
      <c r="D204" s="2">
        <v>1</v>
      </c>
      <c r="E204" s="27" t="s">
        <v>145</v>
      </c>
      <c r="F204" t="s">
        <v>281</v>
      </c>
      <c r="G204" s="47"/>
      <c r="H204" s="54"/>
      <c r="I204" s="63" t="s">
        <v>1005</v>
      </c>
      <c r="J204" t="str">
        <f>CONCATENATE(Tabla1[[#This Row],[OBRA]],"/",Tabla1[[#This Row],[CODIGO ENSAYO]])</f>
        <v>15-1/2-9</v>
      </c>
      <c r="K204" s="2" t="str">
        <f>UPPER(TEXT(Tabla1[[#This Row],[FECHA INF]],"MMMM"))</f>
        <v>MARZO</v>
      </c>
      <c r="L20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183-23</v>
      </c>
    </row>
    <row r="205" spans="1:12" hidden="1" x14ac:dyDescent="0.25">
      <c r="A205" s="52">
        <v>45015</v>
      </c>
      <c r="B205" s="27" t="s">
        <v>304</v>
      </c>
      <c r="C205" s="2" t="s">
        <v>979</v>
      </c>
      <c r="D205" s="2">
        <v>1</v>
      </c>
      <c r="E205" s="27" t="s">
        <v>166</v>
      </c>
      <c r="F205" t="s">
        <v>44</v>
      </c>
      <c r="G205" s="47"/>
      <c r="H205" s="54"/>
      <c r="I205" s="63" t="s">
        <v>1005</v>
      </c>
      <c r="J205" t="str">
        <f>CONCATENATE(Tabla1[[#This Row],[OBRA]],"/",Tabla1[[#This Row],[CODIGO ENSAYO]])</f>
        <v>15-1/4-12</v>
      </c>
      <c r="K205" s="2" t="str">
        <f>UPPER(TEXT(Tabla1[[#This Row],[FECHA INF]],"MMMM"))</f>
        <v>MARZO</v>
      </c>
      <c r="L20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184-23</v>
      </c>
    </row>
    <row r="206" spans="1:12" hidden="1" x14ac:dyDescent="0.25">
      <c r="A206" s="52">
        <v>45015</v>
      </c>
      <c r="B206" s="27" t="s">
        <v>304</v>
      </c>
      <c r="C206" s="2" t="s">
        <v>980</v>
      </c>
      <c r="D206" s="2">
        <v>1</v>
      </c>
      <c r="E206" s="27" t="s">
        <v>137</v>
      </c>
      <c r="F206" t="s">
        <v>240</v>
      </c>
      <c r="G206" s="47"/>
      <c r="H206" s="54"/>
      <c r="I206" s="63" t="s">
        <v>1005</v>
      </c>
      <c r="J206" t="str">
        <f>CONCATENATE(Tabla1[[#This Row],[OBRA]],"/",Tabla1[[#This Row],[CODIGO ENSAYO]])</f>
        <v>15-1/2-1</v>
      </c>
      <c r="K206" s="2" t="str">
        <f>UPPER(TEXT(Tabla1[[#This Row],[FECHA INF]],"MMMM"))</f>
        <v>MARZO</v>
      </c>
      <c r="L20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187-23</v>
      </c>
    </row>
    <row r="207" spans="1:12" hidden="1" x14ac:dyDescent="0.25">
      <c r="A207" s="52">
        <v>45015</v>
      </c>
      <c r="B207" s="27" t="s">
        <v>304</v>
      </c>
      <c r="C207" s="2" t="s">
        <v>980</v>
      </c>
      <c r="D207" s="2">
        <v>1</v>
      </c>
      <c r="E207" s="27" t="s">
        <v>138</v>
      </c>
      <c r="F207" t="s">
        <v>23</v>
      </c>
      <c r="G207" s="47"/>
      <c r="H207" s="54"/>
      <c r="I207" s="63" t="s">
        <v>1005</v>
      </c>
      <c r="J207" t="str">
        <f>CONCATENATE(Tabla1[[#This Row],[OBRA]],"/",Tabla1[[#This Row],[CODIGO ENSAYO]])</f>
        <v>15-1/2-2</v>
      </c>
      <c r="K207" s="2" t="str">
        <f>UPPER(TEXT(Tabla1[[#This Row],[FECHA INF]],"MMMM"))</f>
        <v>MARZO</v>
      </c>
      <c r="L20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187-23</v>
      </c>
    </row>
    <row r="208" spans="1:12" hidden="1" x14ac:dyDescent="0.25">
      <c r="A208" s="52">
        <v>45015</v>
      </c>
      <c r="B208" s="27" t="s">
        <v>304</v>
      </c>
      <c r="C208" s="2" t="s">
        <v>980</v>
      </c>
      <c r="D208" s="2">
        <v>1</v>
      </c>
      <c r="E208" s="27" t="s">
        <v>139</v>
      </c>
      <c r="F208" t="s">
        <v>468</v>
      </c>
      <c r="G208" s="47"/>
      <c r="H208" s="54"/>
      <c r="I208" s="63" t="s">
        <v>1005</v>
      </c>
      <c r="J208" t="str">
        <f>CONCATENATE(Tabla1[[#This Row],[OBRA]],"/",Tabla1[[#This Row],[CODIGO ENSAYO]])</f>
        <v>15-1/2-3</v>
      </c>
      <c r="K208" s="2" t="str">
        <f>UPPER(TEXT(Tabla1[[#This Row],[FECHA INF]],"MMMM"))</f>
        <v>MARZO</v>
      </c>
      <c r="L20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187-23</v>
      </c>
    </row>
    <row r="209" spans="1:12" hidden="1" x14ac:dyDescent="0.25">
      <c r="A209" s="52">
        <v>45015</v>
      </c>
      <c r="B209" s="27" t="s">
        <v>304</v>
      </c>
      <c r="C209" s="2" t="s">
        <v>981</v>
      </c>
      <c r="D209" s="2">
        <v>1</v>
      </c>
      <c r="E209" s="27" t="s">
        <v>287</v>
      </c>
      <c r="F209" t="s">
        <v>301</v>
      </c>
      <c r="G209" s="47"/>
      <c r="H209" s="54"/>
      <c r="I209" s="63" t="s">
        <v>1005</v>
      </c>
      <c r="J209" t="str">
        <f>CONCATENATE(Tabla1[[#This Row],[OBRA]],"/",Tabla1[[#This Row],[CODIGO ENSAYO]])</f>
        <v>15-1/2-14</v>
      </c>
      <c r="K209" s="2" t="str">
        <f>UPPER(TEXT(Tabla1[[#This Row],[FECHA INF]],"MMMM"))</f>
        <v>MARZO</v>
      </c>
      <c r="L20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188-23</v>
      </c>
    </row>
    <row r="210" spans="1:12" hidden="1" x14ac:dyDescent="0.25">
      <c r="A210" s="52">
        <v>45015</v>
      </c>
      <c r="B210" s="27" t="s">
        <v>304</v>
      </c>
      <c r="C210" s="2" t="s">
        <v>982</v>
      </c>
      <c r="D210" s="2">
        <v>1</v>
      </c>
      <c r="E210" s="27" t="s">
        <v>140</v>
      </c>
      <c r="F210" t="s">
        <v>469</v>
      </c>
      <c r="G210" s="47"/>
      <c r="H210" s="54"/>
      <c r="I210" s="63" t="s">
        <v>1005</v>
      </c>
      <c r="J210" t="str">
        <f>CONCATENATE(Tabla1[[#This Row],[OBRA]],"/",Tabla1[[#This Row],[CODIGO ENSAYO]])</f>
        <v>15-1/2-4</v>
      </c>
      <c r="K210" s="2" t="str">
        <f>UPPER(TEXT(Tabla1[[#This Row],[FECHA INF]],"MMMM"))</f>
        <v>MARZO</v>
      </c>
      <c r="L21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189-23</v>
      </c>
    </row>
    <row r="211" spans="1:12" hidden="1" x14ac:dyDescent="0.25">
      <c r="A211" s="52">
        <v>45015</v>
      </c>
      <c r="B211" s="27" t="s">
        <v>304</v>
      </c>
      <c r="C211" s="2" t="s">
        <v>983</v>
      </c>
      <c r="D211" s="2">
        <v>1</v>
      </c>
      <c r="E211" s="27" t="s">
        <v>139</v>
      </c>
      <c r="F211" t="s">
        <v>468</v>
      </c>
      <c r="G211" s="47"/>
      <c r="H211" s="54"/>
      <c r="I211" s="63" t="s">
        <v>1005</v>
      </c>
      <c r="J211" t="str">
        <f>CONCATENATE(Tabla1[[#This Row],[OBRA]],"/",Tabla1[[#This Row],[CODIGO ENSAYO]])</f>
        <v>15-1/2-3</v>
      </c>
      <c r="K211" s="2" t="str">
        <f>UPPER(TEXT(Tabla1[[#This Row],[FECHA INF]],"MMMM"))</f>
        <v>MARZO</v>
      </c>
      <c r="L2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190-23</v>
      </c>
    </row>
    <row r="212" spans="1:12" hidden="1" x14ac:dyDescent="0.25">
      <c r="A212" s="52">
        <v>45015</v>
      </c>
      <c r="B212" s="27" t="s">
        <v>304</v>
      </c>
      <c r="C212" s="2" t="s">
        <v>984</v>
      </c>
      <c r="D212" s="2">
        <v>1</v>
      </c>
      <c r="E212" s="27" t="s">
        <v>166</v>
      </c>
      <c r="F212" t="s">
        <v>44</v>
      </c>
      <c r="G212" s="47"/>
      <c r="H212" s="54"/>
      <c r="I212" s="63" t="s">
        <v>1005</v>
      </c>
      <c r="J212" t="str">
        <f>CONCATENATE(Tabla1[[#This Row],[OBRA]],"/",Tabla1[[#This Row],[CODIGO ENSAYO]])</f>
        <v>15-1/4-12</v>
      </c>
      <c r="K212" s="2" t="str">
        <f>UPPER(TEXT(Tabla1[[#This Row],[FECHA INF]],"MMMM"))</f>
        <v>MARZO</v>
      </c>
      <c r="L21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191-23</v>
      </c>
    </row>
    <row r="213" spans="1:12" hidden="1" x14ac:dyDescent="0.25">
      <c r="A213" s="52">
        <v>45015</v>
      </c>
      <c r="B213" s="27" t="s">
        <v>304</v>
      </c>
      <c r="C213" s="2" t="s">
        <v>985</v>
      </c>
      <c r="D213" s="2">
        <v>1</v>
      </c>
      <c r="E213" s="27" t="s">
        <v>139</v>
      </c>
      <c r="F213" t="s">
        <v>468</v>
      </c>
      <c r="G213" s="47"/>
      <c r="H213" s="54"/>
      <c r="I213" s="63" t="s">
        <v>1005</v>
      </c>
      <c r="J213" t="str">
        <f>CONCATENATE(Tabla1[[#This Row],[OBRA]],"/",Tabla1[[#This Row],[CODIGO ENSAYO]])</f>
        <v>15-1/2-3</v>
      </c>
      <c r="K213" s="2" t="str">
        <f>UPPER(TEXT(Tabla1[[#This Row],[FECHA INF]],"MMMM"))</f>
        <v>MARZO</v>
      </c>
      <c r="L21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192-23</v>
      </c>
    </row>
    <row r="214" spans="1:12" hidden="1" x14ac:dyDescent="0.25">
      <c r="A214" s="52">
        <v>45015</v>
      </c>
      <c r="B214" s="27" t="s">
        <v>304</v>
      </c>
      <c r="C214" s="2" t="s">
        <v>986</v>
      </c>
      <c r="D214" s="2">
        <v>1</v>
      </c>
      <c r="E214" s="27" t="s">
        <v>157</v>
      </c>
      <c r="F214" t="s">
        <v>37</v>
      </c>
      <c r="G214" s="47"/>
      <c r="H214" s="54"/>
      <c r="I214" s="63" t="s">
        <v>1005</v>
      </c>
      <c r="J214" t="str">
        <f>CONCATENATE(Tabla1[[#This Row],[OBRA]],"/",Tabla1[[#This Row],[CODIGO ENSAYO]])</f>
        <v>15-1/4-2</v>
      </c>
      <c r="K214" s="2" t="str">
        <f>UPPER(TEXT(Tabla1[[#This Row],[FECHA INF]],"MMMM"))</f>
        <v>MARZO</v>
      </c>
      <c r="L21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193-23</v>
      </c>
    </row>
    <row r="215" spans="1:12" hidden="1" x14ac:dyDescent="0.25">
      <c r="A215" s="52">
        <v>45015</v>
      </c>
      <c r="B215" s="27" t="s">
        <v>304</v>
      </c>
      <c r="C215" s="2" t="s">
        <v>987</v>
      </c>
      <c r="D215" s="2">
        <v>1</v>
      </c>
      <c r="E215" s="27" t="s">
        <v>159</v>
      </c>
      <c r="F215" t="s">
        <v>39</v>
      </c>
      <c r="G215" s="47"/>
      <c r="H215" s="54"/>
      <c r="I215" s="63" t="s">
        <v>1005</v>
      </c>
      <c r="J215" t="str">
        <f>CONCATENATE(Tabla1[[#This Row],[OBRA]],"/",Tabla1[[#This Row],[CODIGO ENSAYO]])</f>
        <v>15-1/4-4</v>
      </c>
      <c r="K215" s="2" t="str">
        <f>UPPER(TEXT(Tabla1[[#This Row],[FECHA INF]],"MMMM"))</f>
        <v>MARZO</v>
      </c>
      <c r="L21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194-23</v>
      </c>
    </row>
    <row r="216" spans="1:12" hidden="1" x14ac:dyDescent="0.25">
      <c r="A216" s="52">
        <v>45015</v>
      </c>
      <c r="B216" s="27" t="s">
        <v>304</v>
      </c>
      <c r="C216" s="2" t="s">
        <v>988</v>
      </c>
      <c r="D216" s="2">
        <v>1</v>
      </c>
      <c r="E216" s="27" t="s">
        <v>166</v>
      </c>
      <c r="F216" t="s">
        <v>44</v>
      </c>
      <c r="G216" s="47"/>
      <c r="H216" s="54"/>
      <c r="I216" s="63" t="s">
        <v>1005</v>
      </c>
      <c r="J216" t="str">
        <f>CONCATENATE(Tabla1[[#This Row],[OBRA]],"/",Tabla1[[#This Row],[CODIGO ENSAYO]])</f>
        <v>15-1/4-12</v>
      </c>
      <c r="K216" s="2" t="str">
        <f>UPPER(TEXT(Tabla1[[#This Row],[FECHA INF]],"MMMM"))</f>
        <v>MARZO</v>
      </c>
      <c r="L21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195-23</v>
      </c>
    </row>
    <row r="217" spans="1:12" hidden="1" x14ac:dyDescent="0.25">
      <c r="A217" s="52">
        <v>45015</v>
      </c>
      <c r="B217" s="27" t="s">
        <v>304</v>
      </c>
      <c r="C217" s="2" t="s">
        <v>989</v>
      </c>
      <c r="D217" s="2">
        <v>1</v>
      </c>
      <c r="E217" s="27" t="s">
        <v>160</v>
      </c>
      <c r="F217" t="s">
        <v>40</v>
      </c>
      <c r="G217" s="47"/>
      <c r="H217" s="54"/>
      <c r="I217" s="63" t="s">
        <v>1005</v>
      </c>
      <c r="J217" t="str">
        <f>CONCATENATE(Tabla1[[#This Row],[OBRA]],"/",Tabla1[[#This Row],[CODIGO ENSAYO]])</f>
        <v>15-1/4-5</v>
      </c>
      <c r="K217" s="2" t="str">
        <f>UPPER(TEXT(Tabla1[[#This Row],[FECHA INF]],"MMMM"))</f>
        <v>MARZO</v>
      </c>
      <c r="L21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196-23</v>
      </c>
    </row>
    <row r="218" spans="1:12" hidden="1" x14ac:dyDescent="0.25">
      <c r="A218" s="52">
        <v>45015</v>
      </c>
      <c r="B218" s="27" t="s">
        <v>304</v>
      </c>
      <c r="C218" s="2" t="s">
        <v>990</v>
      </c>
      <c r="D218" s="2">
        <v>1</v>
      </c>
      <c r="E218" s="27" t="s">
        <v>137</v>
      </c>
      <c r="F218" t="s">
        <v>240</v>
      </c>
      <c r="G218" s="47"/>
      <c r="H218" s="54"/>
      <c r="I218" s="63" t="s">
        <v>1005</v>
      </c>
      <c r="J218" t="str">
        <f>CONCATENATE(Tabla1[[#This Row],[OBRA]],"/",Tabla1[[#This Row],[CODIGO ENSAYO]])</f>
        <v>15-1/2-1</v>
      </c>
      <c r="K218" s="2" t="str">
        <f>UPPER(TEXT(Tabla1[[#This Row],[FECHA INF]],"MMMM"))</f>
        <v>MARZO</v>
      </c>
      <c r="L21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197-23</v>
      </c>
    </row>
    <row r="219" spans="1:12" hidden="1" x14ac:dyDescent="0.25">
      <c r="A219" s="52">
        <v>45015</v>
      </c>
      <c r="B219" s="27" t="s">
        <v>304</v>
      </c>
      <c r="C219" s="2" t="s">
        <v>990</v>
      </c>
      <c r="D219" s="2">
        <v>1</v>
      </c>
      <c r="E219" s="27" t="s">
        <v>138</v>
      </c>
      <c r="F219" t="s">
        <v>23</v>
      </c>
      <c r="G219" s="47"/>
      <c r="H219" s="54"/>
      <c r="I219" s="63" t="s">
        <v>1005</v>
      </c>
      <c r="J219" t="str">
        <f>CONCATENATE(Tabla1[[#This Row],[OBRA]],"/",Tabla1[[#This Row],[CODIGO ENSAYO]])</f>
        <v>15-1/2-2</v>
      </c>
      <c r="K219" s="2" t="str">
        <f>UPPER(TEXT(Tabla1[[#This Row],[FECHA INF]],"MMMM"))</f>
        <v>MARZO</v>
      </c>
      <c r="L21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197-23</v>
      </c>
    </row>
    <row r="220" spans="1:12" hidden="1" x14ac:dyDescent="0.25">
      <c r="A220" s="52">
        <v>45015</v>
      </c>
      <c r="B220" s="27" t="s">
        <v>304</v>
      </c>
      <c r="C220" s="2" t="s">
        <v>990</v>
      </c>
      <c r="D220" s="2">
        <v>1</v>
      </c>
      <c r="E220" s="27" t="s">
        <v>139</v>
      </c>
      <c r="F220" t="s">
        <v>468</v>
      </c>
      <c r="G220" s="47"/>
      <c r="H220" s="54"/>
      <c r="I220" s="63" t="s">
        <v>1005</v>
      </c>
      <c r="J220" t="str">
        <f>CONCATENATE(Tabla1[[#This Row],[OBRA]],"/",Tabla1[[#This Row],[CODIGO ENSAYO]])</f>
        <v>15-1/2-3</v>
      </c>
      <c r="K220" s="2" t="str">
        <f>UPPER(TEXT(Tabla1[[#This Row],[FECHA INF]],"MMMM"))</f>
        <v>MARZO</v>
      </c>
      <c r="L22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197-23</v>
      </c>
    </row>
    <row r="221" spans="1:12" hidden="1" x14ac:dyDescent="0.25">
      <c r="A221" s="52">
        <v>45015</v>
      </c>
      <c r="B221" s="27" t="s">
        <v>304</v>
      </c>
      <c r="C221" s="2" t="s">
        <v>991</v>
      </c>
      <c r="D221" s="2">
        <v>1</v>
      </c>
      <c r="E221" s="27" t="s">
        <v>163</v>
      </c>
      <c r="F221" t="s">
        <v>2</v>
      </c>
      <c r="G221" s="47"/>
      <c r="H221" s="54"/>
      <c r="I221" s="63" t="s">
        <v>1005</v>
      </c>
      <c r="J221" t="str">
        <f>CONCATENATE(Tabla1[[#This Row],[OBRA]],"/",Tabla1[[#This Row],[CODIGO ENSAYO]])</f>
        <v>15-1/4-9</v>
      </c>
      <c r="K221" s="2" t="str">
        <f>UPPER(TEXT(Tabla1[[#This Row],[FECHA INF]],"MMMM"))</f>
        <v>MARZO</v>
      </c>
      <c r="L22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198-23</v>
      </c>
    </row>
    <row r="222" spans="1:12" hidden="1" x14ac:dyDescent="0.25">
      <c r="A222" s="52">
        <v>45015</v>
      </c>
      <c r="B222" s="27" t="s">
        <v>304</v>
      </c>
      <c r="C222" s="2" t="s">
        <v>992</v>
      </c>
      <c r="D222" s="2">
        <v>1</v>
      </c>
      <c r="E222" s="27" t="s">
        <v>166</v>
      </c>
      <c r="F222" t="s">
        <v>44</v>
      </c>
      <c r="G222" s="47"/>
      <c r="H222" s="54"/>
      <c r="I222" s="63" t="s">
        <v>1005</v>
      </c>
      <c r="J222" t="str">
        <f>CONCATENATE(Tabla1[[#This Row],[OBRA]],"/",Tabla1[[#This Row],[CODIGO ENSAYO]])</f>
        <v>15-1/4-12</v>
      </c>
      <c r="K222" s="2" t="str">
        <f>UPPER(TEXT(Tabla1[[#This Row],[FECHA INF]],"MMMM"))</f>
        <v>MARZO</v>
      </c>
      <c r="L22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199-23</v>
      </c>
    </row>
    <row r="223" spans="1:12" hidden="1" x14ac:dyDescent="0.25">
      <c r="A223" s="52">
        <v>45015</v>
      </c>
      <c r="B223" s="27" t="s">
        <v>304</v>
      </c>
      <c r="C223" s="2" t="s">
        <v>993</v>
      </c>
      <c r="D223" s="2">
        <v>1</v>
      </c>
      <c r="E223" s="27" t="s">
        <v>140</v>
      </c>
      <c r="F223" t="s">
        <v>469</v>
      </c>
      <c r="G223" s="47"/>
      <c r="H223" s="54"/>
      <c r="I223" s="63" t="s">
        <v>1005</v>
      </c>
      <c r="J223" t="str">
        <f>CONCATENATE(Tabla1[[#This Row],[OBRA]],"/",Tabla1[[#This Row],[CODIGO ENSAYO]])</f>
        <v>15-1/2-4</v>
      </c>
      <c r="K223" s="2" t="str">
        <f>UPPER(TEXT(Tabla1[[#This Row],[FECHA INF]],"MMMM"))</f>
        <v>MARZO</v>
      </c>
      <c r="L22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200-23</v>
      </c>
    </row>
    <row r="224" spans="1:12" hidden="1" x14ac:dyDescent="0.25">
      <c r="A224" s="52">
        <v>45015</v>
      </c>
      <c r="B224" s="27" t="s">
        <v>304</v>
      </c>
      <c r="C224" s="2" t="s">
        <v>994</v>
      </c>
      <c r="D224" s="2">
        <v>1</v>
      </c>
      <c r="E224" s="27" t="s">
        <v>145</v>
      </c>
      <c r="F224" t="s">
        <v>281</v>
      </c>
      <c r="G224" s="47"/>
      <c r="H224" s="54"/>
      <c r="I224" s="63" t="s">
        <v>1005</v>
      </c>
      <c r="J224" t="str">
        <f>CONCATENATE(Tabla1[[#This Row],[OBRA]],"/",Tabla1[[#This Row],[CODIGO ENSAYO]])</f>
        <v>15-1/2-9</v>
      </c>
      <c r="K224" s="2" t="str">
        <f>UPPER(TEXT(Tabla1[[#This Row],[FECHA INF]],"MMMM"))</f>
        <v>MARZO</v>
      </c>
      <c r="L22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201-23</v>
      </c>
    </row>
    <row r="225" spans="1:12" hidden="1" x14ac:dyDescent="0.25">
      <c r="A225" s="52">
        <v>45015</v>
      </c>
      <c r="B225" s="27" t="s">
        <v>304</v>
      </c>
      <c r="C225" s="2" t="s">
        <v>995</v>
      </c>
      <c r="D225" s="2">
        <v>1</v>
      </c>
      <c r="E225" s="27" t="s">
        <v>137</v>
      </c>
      <c r="F225" t="s">
        <v>240</v>
      </c>
      <c r="G225" s="47"/>
      <c r="H225" s="54"/>
      <c r="I225" s="63" t="s">
        <v>1005</v>
      </c>
      <c r="J225" t="str">
        <f>CONCATENATE(Tabla1[[#This Row],[OBRA]],"/",Tabla1[[#This Row],[CODIGO ENSAYO]])</f>
        <v>15-1/2-1</v>
      </c>
      <c r="K225" s="2" t="str">
        <f>UPPER(TEXT(Tabla1[[#This Row],[FECHA INF]],"MMMM"))</f>
        <v>MARZO</v>
      </c>
      <c r="L22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202-23</v>
      </c>
    </row>
    <row r="226" spans="1:12" hidden="1" x14ac:dyDescent="0.25">
      <c r="A226" s="52">
        <v>45015</v>
      </c>
      <c r="B226" s="27" t="s">
        <v>304</v>
      </c>
      <c r="C226" s="2" t="s">
        <v>995</v>
      </c>
      <c r="D226" s="2">
        <v>1</v>
      </c>
      <c r="E226" s="27" t="s">
        <v>138</v>
      </c>
      <c r="F226" t="s">
        <v>23</v>
      </c>
      <c r="G226" s="47"/>
      <c r="H226" s="54"/>
      <c r="I226" s="63" t="s">
        <v>1005</v>
      </c>
      <c r="J226" t="str">
        <f>CONCATENATE(Tabla1[[#This Row],[OBRA]],"/",Tabla1[[#This Row],[CODIGO ENSAYO]])</f>
        <v>15-1/2-2</v>
      </c>
      <c r="K226" s="2" t="str">
        <f>UPPER(TEXT(Tabla1[[#This Row],[FECHA INF]],"MMMM"))</f>
        <v>MARZO</v>
      </c>
      <c r="L22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202-23</v>
      </c>
    </row>
    <row r="227" spans="1:12" hidden="1" x14ac:dyDescent="0.25">
      <c r="A227" s="52">
        <v>45015</v>
      </c>
      <c r="B227" s="27" t="s">
        <v>304</v>
      </c>
      <c r="C227" s="2" t="s">
        <v>995</v>
      </c>
      <c r="D227" s="2">
        <v>1</v>
      </c>
      <c r="E227" s="27" t="s">
        <v>139</v>
      </c>
      <c r="F227" t="s">
        <v>468</v>
      </c>
      <c r="G227" s="47"/>
      <c r="H227" s="54"/>
      <c r="I227" s="63" t="s">
        <v>1005</v>
      </c>
      <c r="J227" t="str">
        <f>CONCATENATE(Tabla1[[#This Row],[OBRA]],"/",Tabla1[[#This Row],[CODIGO ENSAYO]])</f>
        <v>15-1/2-3</v>
      </c>
      <c r="K227" s="2" t="str">
        <f>UPPER(TEXT(Tabla1[[#This Row],[FECHA INF]],"MMMM"))</f>
        <v>MARZO</v>
      </c>
      <c r="L22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202-23</v>
      </c>
    </row>
    <row r="228" spans="1:12" hidden="1" x14ac:dyDescent="0.25">
      <c r="A228" s="52">
        <v>45015</v>
      </c>
      <c r="B228" s="27" t="s">
        <v>304</v>
      </c>
      <c r="C228" s="2" t="s">
        <v>996</v>
      </c>
      <c r="D228" s="2">
        <v>1</v>
      </c>
      <c r="E228" s="27" t="s">
        <v>163</v>
      </c>
      <c r="F228" t="s">
        <v>2</v>
      </c>
      <c r="G228" s="47"/>
      <c r="H228" s="54"/>
      <c r="I228" s="63" t="s">
        <v>1005</v>
      </c>
      <c r="J228" t="str">
        <f>CONCATENATE(Tabla1[[#This Row],[OBRA]],"/",Tabla1[[#This Row],[CODIGO ENSAYO]])</f>
        <v>15-1/4-9</v>
      </c>
      <c r="K228" s="2" t="str">
        <f>UPPER(TEXT(Tabla1[[#This Row],[FECHA INF]],"MMMM"))</f>
        <v>MARZO</v>
      </c>
      <c r="L22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203-23</v>
      </c>
    </row>
    <row r="229" spans="1:12" hidden="1" x14ac:dyDescent="0.25">
      <c r="A229" s="52">
        <v>45015</v>
      </c>
      <c r="B229" s="27" t="s">
        <v>304</v>
      </c>
      <c r="C229" s="2" t="s">
        <v>997</v>
      </c>
      <c r="D229" s="2">
        <v>1</v>
      </c>
      <c r="E229" s="27" t="s">
        <v>166</v>
      </c>
      <c r="F229" t="s">
        <v>44</v>
      </c>
      <c r="G229" s="47"/>
      <c r="H229" s="54"/>
      <c r="I229" s="63" t="s">
        <v>1005</v>
      </c>
      <c r="J229" t="str">
        <f>CONCATENATE(Tabla1[[#This Row],[OBRA]],"/",Tabla1[[#This Row],[CODIGO ENSAYO]])</f>
        <v>15-1/4-12</v>
      </c>
      <c r="K229" s="2" t="str">
        <f>UPPER(TEXT(Tabla1[[#This Row],[FECHA INF]],"MMMM"))</f>
        <v>MARZO</v>
      </c>
      <c r="L22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204-23</v>
      </c>
    </row>
    <row r="230" spans="1:12" hidden="1" x14ac:dyDescent="0.25">
      <c r="A230" s="52">
        <v>45015</v>
      </c>
      <c r="B230" s="27" t="s">
        <v>304</v>
      </c>
      <c r="C230" s="2" t="s">
        <v>998</v>
      </c>
      <c r="D230" s="2">
        <v>1</v>
      </c>
      <c r="E230" s="27" t="s">
        <v>140</v>
      </c>
      <c r="F230" t="s">
        <v>469</v>
      </c>
      <c r="G230" s="47"/>
      <c r="H230" s="54"/>
      <c r="I230" s="63" t="s">
        <v>1005</v>
      </c>
      <c r="J230" t="str">
        <f>CONCATENATE(Tabla1[[#This Row],[OBRA]],"/",Tabla1[[#This Row],[CODIGO ENSAYO]])</f>
        <v>15-1/2-4</v>
      </c>
      <c r="K230" s="2" t="str">
        <f>UPPER(TEXT(Tabla1[[#This Row],[FECHA INF]],"MMMM"))</f>
        <v>MARZO</v>
      </c>
      <c r="L23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205-23</v>
      </c>
    </row>
    <row r="231" spans="1:12" hidden="1" x14ac:dyDescent="0.25">
      <c r="A231" s="52">
        <v>45015</v>
      </c>
      <c r="B231" s="27" t="s">
        <v>304</v>
      </c>
      <c r="C231" s="2" t="s">
        <v>999</v>
      </c>
      <c r="D231" s="2">
        <v>1</v>
      </c>
      <c r="E231" s="27" t="s">
        <v>145</v>
      </c>
      <c r="F231" t="s">
        <v>281</v>
      </c>
      <c r="G231" s="47"/>
      <c r="H231" s="54"/>
      <c r="I231" s="63" t="s">
        <v>1005</v>
      </c>
      <c r="J231" t="str">
        <f>CONCATENATE(Tabla1[[#This Row],[OBRA]],"/",Tabla1[[#This Row],[CODIGO ENSAYO]])</f>
        <v>15-1/2-9</v>
      </c>
      <c r="K231" s="2" t="str">
        <f>UPPER(TEXT(Tabla1[[#This Row],[FECHA INF]],"MMMM"))</f>
        <v>MARZO</v>
      </c>
      <c r="L23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206-23</v>
      </c>
    </row>
    <row r="232" spans="1:12" hidden="1" x14ac:dyDescent="0.25">
      <c r="A232" s="52">
        <v>45015</v>
      </c>
      <c r="B232" s="27" t="s">
        <v>304</v>
      </c>
      <c r="C232" s="2" t="s">
        <v>1000</v>
      </c>
      <c r="D232" s="2">
        <v>1</v>
      </c>
      <c r="E232" s="27" t="s">
        <v>137</v>
      </c>
      <c r="F232" t="s">
        <v>240</v>
      </c>
      <c r="G232" s="47"/>
      <c r="H232" s="54"/>
      <c r="I232" s="63" t="s">
        <v>1005</v>
      </c>
      <c r="J232" t="str">
        <f>CONCATENATE(Tabla1[[#This Row],[OBRA]],"/",Tabla1[[#This Row],[CODIGO ENSAYO]])</f>
        <v>15-1/2-1</v>
      </c>
      <c r="K232" s="2" t="str">
        <f>UPPER(TEXT(Tabla1[[#This Row],[FECHA INF]],"MMMM"))</f>
        <v>MARZO</v>
      </c>
      <c r="L23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207-23</v>
      </c>
    </row>
    <row r="233" spans="1:12" hidden="1" x14ac:dyDescent="0.25">
      <c r="A233" s="52">
        <v>45015</v>
      </c>
      <c r="B233" s="27" t="s">
        <v>304</v>
      </c>
      <c r="C233" s="2" t="s">
        <v>1000</v>
      </c>
      <c r="D233" s="2">
        <v>1</v>
      </c>
      <c r="E233" s="27" t="s">
        <v>138</v>
      </c>
      <c r="F233" t="s">
        <v>23</v>
      </c>
      <c r="G233" s="47"/>
      <c r="H233" s="54"/>
      <c r="I233" s="63" t="s">
        <v>1005</v>
      </c>
      <c r="J233" t="str">
        <f>CONCATENATE(Tabla1[[#This Row],[OBRA]],"/",Tabla1[[#This Row],[CODIGO ENSAYO]])</f>
        <v>15-1/2-2</v>
      </c>
      <c r="K233" s="2" t="str">
        <f>UPPER(TEXT(Tabla1[[#This Row],[FECHA INF]],"MMMM"))</f>
        <v>MARZO</v>
      </c>
      <c r="L23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207-23</v>
      </c>
    </row>
    <row r="234" spans="1:12" hidden="1" x14ac:dyDescent="0.25">
      <c r="A234" s="52">
        <v>45015</v>
      </c>
      <c r="B234" s="27" t="s">
        <v>304</v>
      </c>
      <c r="C234" s="2" t="s">
        <v>1000</v>
      </c>
      <c r="D234" s="2">
        <v>1</v>
      </c>
      <c r="E234" s="27" t="s">
        <v>139</v>
      </c>
      <c r="F234" t="s">
        <v>468</v>
      </c>
      <c r="G234" s="47"/>
      <c r="H234" s="54"/>
      <c r="I234" s="63" t="s">
        <v>1005</v>
      </c>
      <c r="J234" t="str">
        <f>CONCATENATE(Tabla1[[#This Row],[OBRA]],"/",Tabla1[[#This Row],[CODIGO ENSAYO]])</f>
        <v>15-1/2-3</v>
      </c>
      <c r="K234" s="2" t="str">
        <f>UPPER(TEXT(Tabla1[[#This Row],[FECHA INF]],"MMMM"))</f>
        <v>MARZO</v>
      </c>
      <c r="L23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207-23</v>
      </c>
    </row>
    <row r="235" spans="1:12" hidden="1" x14ac:dyDescent="0.25">
      <c r="A235" s="52">
        <v>45015</v>
      </c>
      <c r="B235" s="27" t="s">
        <v>304</v>
      </c>
      <c r="C235" s="2" t="s">
        <v>1001</v>
      </c>
      <c r="D235" s="2">
        <v>1</v>
      </c>
      <c r="E235" s="27" t="s">
        <v>163</v>
      </c>
      <c r="F235" t="s">
        <v>2</v>
      </c>
      <c r="G235" s="47"/>
      <c r="H235" s="54"/>
      <c r="I235" s="63" t="s">
        <v>1005</v>
      </c>
      <c r="J235" t="str">
        <f>CONCATENATE(Tabla1[[#This Row],[OBRA]],"/",Tabla1[[#This Row],[CODIGO ENSAYO]])</f>
        <v>15-1/4-9</v>
      </c>
      <c r="K235" s="2" t="str">
        <f>UPPER(TEXT(Tabla1[[#This Row],[FECHA INF]],"MMMM"))</f>
        <v>MARZO</v>
      </c>
      <c r="L23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208-23</v>
      </c>
    </row>
    <row r="236" spans="1:12" hidden="1" x14ac:dyDescent="0.25">
      <c r="A236" s="52">
        <v>45015</v>
      </c>
      <c r="B236" s="27" t="s">
        <v>304</v>
      </c>
      <c r="C236" s="2" t="s">
        <v>1002</v>
      </c>
      <c r="D236" s="2">
        <v>1</v>
      </c>
      <c r="E236" s="27" t="s">
        <v>159</v>
      </c>
      <c r="F236" t="s">
        <v>39</v>
      </c>
      <c r="G236" s="47"/>
      <c r="H236" s="54"/>
      <c r="I236" s="63" t="s">
        <v>1005</v>
      </c>
      <c r="J236" t="str">
        <f>CONCATENATE(Tabla1[[#This Row],[OBRA]],"/",Tabla1[[#This Row],[CODIGO ENSAYO]])</f>
        <v>15-1/4-4</v>
      </c>
      <c r="K236" s="2" t="str">
        <f>UPPER(TEXT(Tabla1[[#This Row],[FECHA INF]],"MMMM"))</f>
        <v>MARZO</v>
      </c>
      <c r="L23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209-23</v>
      </c>
    </row>
    <row r="237" spans="1:12" hidden="1" x14ac:dyDescent="0.25">
      <c r="A237" s="52">
        <v>45015</v>
      </c>
      <c r="B237" s="27" t="s">
        <v>304</v>
      </c>
      <c r="C237" s="2" t="s">
        <v>1003</v>
      </c>
      <c r="D237" s="2">
        <v>1</v>
      </c>
      <c r="E237" s="27" t="s">
        <v>160</v>
      </c>
      <c r="F237" t="s">
        <v>40</v>
      </c>
      <c r="G237" s="47"/>
      <c r="H237" s="54"/>
      <c r="I237" s="63" t="s">
        <v>1005</v>
      </c>
      <c r="J237" t="str">
        <f>CONCATENATE(Tabla1[[#This Row],[OBRA]],"/",Tabla1[[#This Row],[CODIGO ENSAYO]])</f>
        <v>15-1/4-5</v>
      </c>
      <c r="K237" s="2" t="str">
        <f>UPPER(TEXT(Tabla1[[#This Row],[FECHA INF]],"MMMM"))</f>
        <v>MARZO</v>
      </c>
      <c r="L23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210-23</v>
      </c>
    </row>
    <row r="238" spans="1:12" hidden="1" x14ac:dyDescent="0.25">
      <c r="A238" s="52">
        <v>45015</v>
      </c>
      <c r="B238" s="27" t="s">
        <v>192</v>
      </c>
      <c r="C238" s="2" t="s">
        <v>1004</v>
      </c>
      <c r="D238" s="2">
        <v>420</v>
      </c>
      <c r="E238" s="27" t="s">
        <v>182</v>
      </c>
      <c r="F238" t="s">
        <v>792</v>
      </c>
      <c r="G238" s="47"/>
      <c r="H238" s="54"/>
      <c r="I238" s="63" t="s">
        <v>1005</v>
      </c>
      <c r="J238" t="str">
        <f>CONCATENATE(Tabla1[[#This Row],[OBRA]],"/",Tabla1[[#This Row],[CODIGO ENSAYO]])</f>
        <v>10-2/8-4A</v>
      </c>
      <c r="K238" s="2" t="str">
        <f>UPPER(TEXT(Tabla1[[#This Row],[FECHA INF]],"MMMM"))</f>
        <v>MARZO</v>
      </c>
      <c r="L23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DEL 01 MARZO AL 30 MARZO</v>
      </c>
    </row>
    <row r="239" spans="1:12" hidden="1" x14ac:dyDescent="0.25">
      <c r="A239" s="52">
        <v>45046</v>
      </c>
      <c r="B239" s="27" t="s">
        <v>522</v>
      </c>
      <c r="C239" s="2" t="s">
        <v>1014</v>
      </c>
      <c r="D239" s="2">
        <v>5</v>
      </c>
      <c r="E239" s="27" t="s">
        <v>175</v>
      </c>
      <c r="F239" t="s">
        <v>390</v>
      </c>
      <c r="G239" s="47"/>
      <c r="H239" s="54"/>
      <c r="I239" s="63" t="s">
        <v>1005</v>
      </c>
      <c r="J239" t="str">
        <f>CONCATENATE(Tabla1[[#This Row],[OBRA]],"/",Tabla1[[#This Row],[CODIGO ENSAYO]])</f>
        <v>17-1/7-1</v>
      </c>
      <c r="K239" s="2" t="str">
        <f>UPPER(TEXT(Tabla1[[#This Row],[FECHA INF]],"MMMM"))</f>
        <v>ABRIL</v>
      </c>
      <c r="L23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(2023-04-11-17-19-22-26)</v>
      </c>
    </row>
    <row r="240" spans="1:12" hidden="1" x14ac:dyDescent="0.25">
      <c r="A240" s="52">
        <v>45046</v>
      </c>
      <c r="B240" s="27" t="s">
        <v>12</v>
      </c>
      <c r="C240" s="2" t="s">
        <v>1015</v>
      </c>
      <c r="D240" s="2">
        <v>6</v>
      </c>
      <c r="E240" s="27" t="s">
        <v>123</v>
      </c>
      <c r="F240" t="s">
        <v>15</v>
      </c>
      <c r="G240" s="47"/>
      <c r="H240" s="54"/>
      <c r="I240" s="63" t="s">
        <v>1005</v>
      </c>
      <c r="J240" t="str">
        <f>CONCATENATE(Tabla1[[#This Row],[OBRA]],"/",Tabla1[[#This Row],[CODIGO ENSAYO]])</f>
        <v>14-1/1-1</v>
      </c>
      <c r="K240" s="2" t="str">
        <f>UPPER(TEXT(Tabla1[[#This Row],[FECHA INF]],"MMMM"))</f>
        <v>ABRIL</v>
      </c>
      <c r="L24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212-23</v>
      </c>
    </row>
    <row r="241" spans="1:12" hidden="1" x14ac:dyDescent="0.25">
      <c r="A241" s="52">
        <v>45046</v>
      </c>
      <c r="B241" s="27" t="s">
        <v>522</v>
      </c>
      <c r="C241" s="2" t="s">
        <v>1017</v>
      </c>
      <c r="D241" s="2">
        <v>4</v>
      </c>
      <c r="E241" s="27" t="s">
        <v>123</v>
      </c>
      <c r="F241" t="s">
        <v>15</v>
      </c>
      <c r="G241" s="47"/>
      <c r="H241" s="54"/>
      <c r="I241" s="63" t="s">
        <v>1005</v>
      </c>
      <c r="J241" t="str">
        <f>CONCATENATE(Tabla1[[#This Row],[OBRA]],"/",Tabla1[[#This Row],[CODIGO ENSAYO]])</f>
        <v>17-1/1-1</v>
      </c>
      <c r="K241" s="2" t="str">
        <f>UPPER(TEXT(Tabla1[[#This Row],[FECHA INF]],"MMMM"))</f>
        <v>ABRIL</v>
      </c>
      <c r="L24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220-23</v>
      </c>
    </row>
    <row r="242" spans="1:12" hidden="1" x14ac:dyDescent="0.25">
      <c r="A242" s="52">
        <v>45046</v>
      </c>
      <c r="B242" s="27" t="s">
        <v>522</v>
      </c>
      <c r="C242" s="2" t="s">
        <v>1018</v>
      </c>
      <c r="D242" s="2">
        <v>4</v>
      </c>
      <c r="E242" s="27" t="s">
        <v>123</v>
      </c>
      <c r="F242" t="s">
        <v>15</v>
      </c>
      <c r="G242" s="47"/>
      <c r="H242" s="54"/>
      <c r="I242" s="63" t="s">
        <v>1005</v>
      </c>
      <c r="J242" t="str">
        <f>CONCATENATE(Tabla1[[#This Row],[OBRA]],"/",Tabla1[[#This Row],[CODIGO ENSAYO]])</f>
        <v>17-1/1-1</v>
      </c>
      <c r="K242" s="2" t="str">
        <f>UPPER(TEXT(Tabla1[[#This Row],[FECHA INF]],"MMMM"))</f>
        <v>ABRIL</v>
      </c>
      <c r="L24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225-23</v>
      </c>
    </row>
    <row r="243" spans="1:12" hidden="1" x14ac:dyDescent="0.25">
      <c r="A243" s="52">
        <v>45046</v>
      </c>
      <c r="B243" s="27" t="s">
        <v>12</v>
      </c>
      <c r="C243" s="2" t="s">
        <v>1016</v>
      </c>
      <c r="D243" s="2">
        <v>6</v>
      </c>
      <c r="E243" s="27" t="s">
        <v>123</v>
      </c>
      <c r="F243" t="s">
        <v>15</v>
      </c>
      <c r="G243" s="47"/>
      <c r="H243" s="54"/>
      <c r="I243" s="63" t="s">
        <v>1005</v>
      </c>
      <c r="J243" t="str">
        <f>CONCATENATE(Tabla1[[#This Row],[OBRA]],"/",Tabla1[[#This Row],[CODIGO ENSAYO]])</f>
        <v>14-1/1-1</v>
      </c>
      <c r="K243" s="2" t="str">
        <f>UPPER(TEXT(Tabla1[[#This Row],[FECHA INF]],"MMMM"))</f>
        <v>ABRIL</v>
      </c>
      <c r="L24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229-23</v>
      </c>
    </row>
    <row r="244" spans="1:12" hidden="1" x14ac:dyDescent="0.25">
      <c r="A244" s="52">
        <v>45046</v>
      </c>
      <c r="B244" s="27" t="s">
        <v>522</v>
      </c>
      <c r="C244" s="2" t="s">
        <v>1019</v>
      </c>
      <c r="D244" s="2">
        <v>22</v>
      </c>
      <c r="E244" s="27" t="s">
        <v>123</v>
      </c>
      <c r="F244" t="s">
        <v>15</v>
      </c>
      <c r="G244" s="47"/>
      <c r="H244" s="54"/>
      <c r="I244" s="63" t="s">
        <v>1005</v>
      </c>
      <c r="J244" t="str">
        <f>CONCATENATE(Tabla1[[#This Row],[OBRA]],"/",Tabla1[[#This Row],[CODIGO ENSAYO]])</f>
        <v>17-1/1-1</v>
      </c>
      <c r="K244" s="2" t="str">
        <f>UPPER(TEXT(Tabla1[[#This Row],[FECHA INF]],"MMMM"))</f>
        <v>ABRIL</v>
      </c>
      <c r="L24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230-23</v>
      </c>
    </row>
    <row r="245" spans="1:12" hidden="1" x14ac:dyDescent="0.25">
      <c r="A245" s="52">
        <v>45046</v>
      </c>
      <c r="B245" s="27" t="s">
        <v>522</v>
      </c>
      <c r="C245" s="2" t="s">
        <v>1020</v>
      </c>
      <c r="D245" s="2">
        <v>14</v>
      </c>
      <c r="E245" s="27" t="s">
        <v>123</v>
      </c>
      <c r="F245" t="s">
        <v>15</v>
      </c>
      <c r="G245" s="47"/>
      <c r="H245" s="54"/>
      <c r="I245" s="63" t="s">
        <v>1005</v>
      </c>
      <c r="J245" t="str">
        <f>CONCATENATE(Tabla1[[#This Row],[OBRA]],"/",Tabla1[[#This Row],[CODIGO ENSAYO]])</f>
        <v>17-1/1-1</v>
      </c>
      <c r="K245" s="2" t="str">
        <f>UPPER(TEXT(Tabla1[[#This Row],[FECHA INF]],"MMMM"))</f>
        <v>ABRIL</v>
      </c>
      <c r="L24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236-23</v>
      </c>
    </row>
    <row r="246" spans="1:12" hidden="1" x14ac:dyDescent="0.25">
      <c r="A246" s="52">
        <v>45046</v>
      </c>
      <c r="B246" s="27" t="s">
        <v>522</v>
      </c>
      <c r="C246" s="2" t="s">
        <v>1021</v>
      </c>
      <c r="D246" s="2">
        <v>24</v>
      </c>
      <c r="E246" s="27" t="s">
        <v>123</v>
      </c>
      <c r="F246" t="s">
        <v>15</v>
      </c>
      <c r="G246" s="47"/>
      <c r="H246" s="54"/>
      <c r="I246" s="63" t="s">
        <v>1005</v>
      </c>
      <c r="J246" t="str">
        <f>CONCATENATE(Tabla1[[#This Row],[OBRA]],"/",Tabla1[[#This Row],[CODIGO ENSAYO]])</f>
        <v>17-1/1-1</v>
      </c>
      <c r="K246" s="2" t="str">
        <f>UPPER(TEXT(Tabla1[[#This Row],[FECHA INF]],"MMMM"))</f>
        <v>ABRIL</v>
      </c>
      <c r="L24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237-23</v>
      </c>
    </row>
    <row r="247" spans="1:12" hidden="1" x14ac:dyDescent="0.25">
      <c r="A247" s="52">
        <v>45046</v>
      </c>
      <c r="B247" s="27" t="s">
        <v>12</v>
      </c>
      <c r="C247" s="2" t="s">
        <v>1008</v>
      </c>
      <c r="D247" s="2">
        <v>1</v>
      </c>
      <c r="E247" s="27" t="s">
        <v>137</v>
      </c>
      <c r="F247" t="s">
        <v>240</v>
      </c>
      <c r="G247" s="47"/>
      <c r="H247" s="54"/>
      <c r="I247" s="63" t="s">
        <v>1005</v>
      </c>
      <c r="J247" t="str">
        <f>CONCATENATE(Tabla1[[#This Row],[OBRA]],"/",Tabla1[[#This Row],[CODIGO ENSAYO]])</f>
        <v>14-1/2-1</v>
      </c>
      <c r="K247" s="2" t="str">
        <f>UPPER(TEXT(Tabla1[[#This Row],[FECHA INF]],"MMMM"))</f>
        <v>ABRIL</v>
      </c>
      <c r="L24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243-23</v>
      </c>
    </row>
    <row r="248" spans="1:12" hidden="1" x14ac:dyDescent="0.25">
      <c r="A248" s="52">
        <v>45046</v>
      </c>
      <c r="B248" s="27" t="s">
        <v>12</v>
      </c>
      <c r="C248" s="2" t="s">
        <v>1008</v>
      </c>
      <c r="D248" s="2">
        <v>1</v>
      </c>
      <c r="E248" s="27" t="s">
        <v>138</v>
      </c>
      <c r="F248" t="s">
        <v>23</v>
      </c>
      <c r="G248" s="47"/>
      <c r="H248" s="54"/>
      <c r="I248" s="63" t="s">
        <v>1005</v>
      </c>
      <c r="J248" t="str">
        <f>CONCATENATE(Tabla1[[#This Row],[OBRA]],"/",Tabla1[[#This Row],[CODIGO ENSAYO]])</f>
        <v>14-1/2-2</v>
      </c>
      <c r="K248" s="2" t="str">
        <f>UPPER(TEXT(Tabla1[[#This Row],[FECHA INF]],"MMMM"))</f>
        <v>ABRIL</v>
      </c>
      <c r="L24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243-23</v>
      </c>
    </row>
    <row r="249" spans="1:12" hidden="1" x14ac:dyDescent="0.25">
      <c r="A249" s="52">
        <v>45046</v>
      </c>
      <c r="B249" s="27" t="s">
        <v>12</v>
      </c>
      <c r="C249" s="2" t="s">
        <v>1008</v>
      </c>
      <c r="D249" s="2">
        <v>1</v>
      </c>
      <c r="E249" s="27" t="s">
        <v>139</v>
      </c>
      <c r="F249" t="s">
        <v>468</v>
      </c>
      <c r="G249" s="47"/>
      <c r="H249" s="54"/>
      <c r="I249" s="63" t="s">
        <v>1005</v>
      </c>
      <c r="J249" t="str">
        <f>CONCATENATE(Tabla1[[#This Row],[OBRA]],"/",Tabla1[[#This Row],[CODIGO ENSAYO]])</f>
        <v>14-1/2-3</v>
      </c>
      <c r="K249" s="2" t="str">
        <f>UPPER(TEXT(Tabla1[[#This Row],[FECHA INF]],"MMMM"))</f>
        <v>ABRIL</v>
      </c>
      <c r="L24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243-23</v>
      </c>
    </row>
    <row r="250" spans="1:12" hidden="1" x14ac:dyDescent="0.25">
      <c r="A250" s="52">
        <v>45046</v>
      </c>
      <c r="B250" s="27" t="s">
        <v>12</v>
      </c>
      <c r="C250" s="2" t="s">
        <v>1009</v>
      </c>
      <c r="D250" s="2">
        <v>1</v>
      </c>
      <c r="E250" s="27" t="s">
        <v>163</v>
      </c>
      <c r="F250" t="s">
        <v>2</v>
      </c>
      <c r="G250" s="47"/>
      <c r="H250" s="54"/>
      <c r="I250" s="63" t="s">
        <v>1005</v>
      </c>
      <c r="J250" t="str">
        <f>CONCATENATE(Tabla1[[#This Row],[OBRA]],"/",Tabla1[[#This Row],[CODIGO ENSAYO]])</f>
        <v>14-1/4-9</v>
      </c>
      <c r="K250" s="2" t="str">
        <f>UPPER(TEXT(Tabla1[[#This Row],[FECHA INF]],"MMMM"))</f>
        <v>ABRIL</v>
      </c>
      <c r="L25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244-23</v>
      </c>
    </row>
    <row r="251" spans="1:12" hidden="1" x14ac:dyDescent="0.25">
      <c r="A251" s="52">
        <v>45046</v>
      </c>
      <c r="B251" s="27" t="s">
        <v>12</v>
      </c>
      <c r="C251" s="2" t="s">
        <v>1010</v>
      </c>
      <c r="D251" s="2">
        <v>1</v>
      </c>
      <c r="E251" s="27" t="s">
        <v>169</v>
      </c>
      <c r="F251" t="s">
        <v>47</v>
      </c>
      <c r="G251" s="47"/>
      <c r="H251" s="54"/>
      <c r="I251" s="63" t="s">
        <v>1005</v>
      </c>
      <c r="J251" t="str">
        <f>CONCATENATE(Tabla1[[#This Row],[OBRA]],"/",Tabla1[[#This Row],[CODIGO ENSAYO]])</f>
        <v>14-1/4-15</v>
      </c>
      <c r="K251" s="2" t="str">
        <f>UPPER(TEXT(Tabla1[[#This Row],[FECHA INF]],"MMMM"))</f>
        <v>ABRIL</v>
      </c>
      <c r="L25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245-23</v>
      </c>
    </row>
    <row r="252" spans="1:12" hidden="1" x14ac:dyDescent="0.25">
      <c r="A252" s="52">
        <v>45046</v>
      </c>
      <c r="B252" s="27" t="s">
        <v>12</v>
      </c>
      <c r="C252" s="2" t="s">
        <v>1011</v>
      </c>
      <c r="D252" s="2">
        <v>1</v>
      </c>
      <c r="E252" s="27" t="s">
        <v>159</v>
      </c>
      <c r="F252" t="s">
        <v>39</v>
      </c>
      <c r="G252" s="47"/>
      <c r="H252" s="54"/>
      <c r="I252" s="63" t="s">
        <v>1005</v>
      </c>
      <c r="J252" t="str">
        <f>CONCATENATE(Tabla1[[#This Row],[OBRA]],"/",Tabla1[[#This Row],[CODIGO ENSAYO]])</f>
        <v>14-1/4-4</v>
      </c>
      <c r="K252" s="2" t="str">
        <f>UPPER(TEXT(Tabla1[[#This Row],[FECHA INF]],"MMMM"))</f>
        <v>ABRIL</v>
      </c>
      <c r="L25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246-23</v>
      </c>
    </row>
    <row r="253" spans="1:12" hidden="1" x14ac:dyDescent="0.25">
      <c r="A253" s="52">
        <v>45046</v>
      </c>
      <c r="B253" s="27" t="s">
        <v>12</v>
      </c>
      <c r="C253" s="2" t="s">
        <v>1012</v>
      </c>
      <c r="D253" s="2">
        <v>1</v>
      </c>
      <c r="E253" s="27" t="s">
        <v>157</v>
      </c>
      <c r="F253" t="s">
        <v>37</v>
      </c>
      <c r="G253" s="47"/>
      <c r="H253" s="54"/>
      <c r="I253" s="63" t="s">
        <v>1005</v>
      </c>
      <c r="J253" t="str">
        <f>CONCATENATE(Tabla1[[#This Row],[OBRA]],"/",Tabla1[[#This Row],[CODIGO ENSAYO]])</f>
        <v>14-1/4-2</v>
      </c>
      <c r="K253" s="2" t="str">
        <f>UPPER(TEXT(Tabla1[[#This Row],[FECHA INF]],"MMMM"))</f>
        <v>ABRIL</v>
      </c>
      <c r="L25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247-23</v>
      </c>
    </row>
    <row r="254" spans="1:12" hidden="1" x14ac:dyDescent="0.25">
      <c r="A254" s="52">
        <v>45046</v>
      </c>
      <c r="B254" s="27" t="s">
        <v>12</v>
      </c>
      <c r="C254" s="2" t="s">
        <v>1013</v>
      </c>
      <c r="D254" s="2">
        <v>1</v>
      </c>
      <c r="E254" s="27" t="s">
        <v>160</v>
      </c>
      <c r="F254" t="s">
        <v>40</v>
      </c>
      <c r="G254" s="47"/>
      <c r="H254" s="54"/>
      <c r="I254" s="63" t="s">
        <v>1005</v>
      </c>
      <c r="J254" t="str">
        <f>CONCATENATE(Tabla1[[#This Row],[OBRA]],"/",Tabla1[[#This Row],[CODIGO ENSAYO]])</f>
        <v>14-1/4-5</v>
      </c>
      <c r="K254" s="2" t="str">
        <f>UPPER(TEXT(Tabla1[[#This Row],[FECHA INF]],"MMMM"))</f>
        <v>ABRIL</v>
      </c>
      <c r="L25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248-23</v>
      </c>
    </row>
    <row r="255" spans="1:12" hidden="1" x14ac:dyDescent="0.25">
      <c r="A255" s="52">
        <v>45046</v>
      </c>
      <c r="B255" s="27" t="s">
        <v>192</v>
      </c>
      <c r="C255" s="2" t="s">
        <v>1007</v>
      </c>
      <c r="D255" s="2">
        <v>432</v>
      </c>
      <c r="E255" s="27" t="s">
        <v>182</v>
      </c>
      <c r="F255" t="s">
        <v>792</v>
      </c>
      <c r="G255" s="47"/>
      <c r="H255" s="54"/>
      <c r="I255" s="63" t="s">
        <v>1005</v>
      </c>
      <c r="J255" t="str">
        <f>CONCATENATE(Tabla1[[#This Row],[OBRA]],"/",Tabla1[[#This Row],[CODIGO ENSAYO]])</f>
        <v>10-2/8-4A</v>
      </c>
      <c r="K255" s="2" t="str">
        <f>UPPER(TEXT(Tabla1[[#This Row],[FECHA INF]],"MMMM"))</f>
        <v>ABRIL</v>
      </c>
      <c r="L25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DEL 1AL 30 ABRIL</v>
      </c>
    </row>
    <row r="256" spans="1:12" hidden="1" x14ac:dyDescent="0.25">
      <c r="A256" s="52">
        <v>45076</v>
      </c>
      <c r="B256" s="27" t="s">
        <v>192</v>
      </c>
      <c r="C256" s="2" t="s">
        <v>1142</v>
      </c>
      <c r="D256" s="2">
        <v>1</v>
      </c>
      <c r="E256" s="27" t="s">
        <v>175</v>
      </c>
      <c r="F256" t="s">
        <v>390</v>
      </c>
      <c r="G256" s="47"/>
      <c r="H256" s="102"/>
      <c r="I256" s="63"/>
      <c r="J256" t="str">
        <f>CONCATENATE(Tabla1[[#This Row],[OBRA]],"/",Tabla1[[#This Row],[CODIGO ENSAYO]])</f>
        <v>10-2/7-1</v>
      </c>
      <c r="K256" s="2" t="str">
        <f>UPPER(TEXT(Tabla1[[#This Row],[FECHA INF]],"MMMM"))</f>
        <v>MAYO</v>
      </c>
      <c r="L25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(2023-05-10)</v>
      </c>
    </row>
    <row r="257" spans="1:12" hidden="1" x14ac:dyDescent="0.25">
      <c r="A257" s="52">
        <v>45076</v>
      </c>
      <c r="B257" s="27" t="s">
        <v>522</v>
      </c>
      <c r="C257" s="2" t="s">
        <v>1122</v>
      </c>
      <c r="D257" s="2">
        <v>8</v>
      </c>
      <c r="E257" s="27" t="s">
        <v>123</v>
      </c>
      <c r="F257" t="s">
        <v>15</v>
      </c>
      <c r="G257" s="47"/>
      <c r="H257" s="102"/>
      <c r="I257" s="63"/>
      <c r="J257" t="str">
        <f>CONCATENATE(Tabla1[[#This Row],[OBRA]],"/",Tabla1[[#This Row],[CODIGO ENSAYO]])</f>
        <v>17-1/1-1</v>
      </c>
      <c r="K257" s="2" t="str">
        <f>UPPER(TEXT(Tabla1[[#This Row],[FECHA INF]],"MMMM"))</f>
        <v>MAYO</v>
      </c>
      <c r="L25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239-23</v>
      </c>
    </row>
    <row r="258" spans="1:12" hidden="1" x14ac:dyDescent="0.25">
      <c r="A258" s="52">
        <v>45076</v>
      </c>
      <c r="B258" s="27" t="s">
        <v>522</v>
      </c>
      <c r="C258" s="2" t="s">
        <v>1123</v>
      </c>
      <c r="D258" s="2">
        <v>6</v>
      </c>
      <c r="E258" s="27" t="s">
        <v>123</v>
      </c>
      <c r="F258" t="s">
        <v>15</v>
      </c>
      <c r="G258" s="47"/>
      <c r="H258" s="102"/>
      <c r="I258" s="63"/>
      <c r="J258" t="str">
        <f>CONCATENATE(Tabla1[[#This Row],[OBRA]],"/",Tabla1[[#This Row],[CODIGO ENSAYO]])</f>
        <v>17-1/1-1</v>
      </c>
      <c r="K258" s="2" t="str">
        <f>UPPER(TEXT(Tabla1[[#This Row],[FECHA INF]],"MMMM"))</f>
        <v>MAYO</v>
      </c>
      <c r="L25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241-23</v>
      </c>
    </row>
    <row r="259" spans="1:12" hidden="1" x14ac:dyDescent="0.25">
      <c r="A259" s="52">
        <v>45076</v>
      </c>
      <c r="B259" s="27" t="s">
        <v>522</v>
      </c>
      <c r="C259" s="2" t="s">
        <v>1126</v>
      </c>
      <c r="D259" s="2">
        <v>24</v>
      </c>
      <c r="E259" s="27" t="s">
        <v>123</v>
      </c>
      <c r="F259" t="s">
        <v>15</v>
      </c>
      <c r="G259" s="47"/>
      <c r="H259" s="102"/>
      <c r="I259" s="63"/>
      <c r="J259" t="str">
        <f>CONCATENATE(Tabla1[[#This Row],[OBRA]],"/",Tabla1[[#This Row],[CODIGO ENSAYO]])</f>
        <v>17-1/1-1</v>
      </c>
      <c r="K259" s="2" t="str">
        <f>UPPER(TEXT(Tabla1[[#This Row],[FECHA INF]],"MMMM"))</f>
        <v>MAYO</v>
      </c>
      <c r="L25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249-23</v>
      </c>
    </row>
    <row r="260" spans="1:12" hidden="1" x14ac:dyDescent="0.25">
      <c r="A260" s="52">
        <v>45076</v>
      </c>
      <c r="B260" s="27" t="s">
        <v>304</v>
      </c>
      <c r="C260" s="2" t="s">
        <v>1127</v>
      </c>
      <c r="D260" s="2">
        <v>1</v>
      </c>
      <c r="E260" s="27" t="s">
        <v>166</v>
      </c>
      <c r="F260" t="s">
        <v>44</v>
      </c>
      <c r="G260" s="47"/>
      <c r="H260" s="102"/>
      <c r="I260" s="63"/>
      <c r="J260" t="str">
        <f>CONCATENATE(Tabla1[[#This Row],[OBRA]],"/",Tabla1[[#This Row],[CODIGO ENSAYO]])</f>
        <v>15-1/4-12</v>
      </c>
      <c r="K260" s="2" t="str">
        <f>UPPER(TEXT(Tabla1[[#This Row],[FECHA INF]],"MMMM"))</f>
        <v>MAYO</v>
      </c>
      <c r="L26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251-23</v>
      </c>
    </row>
    <row r="261" spans="1:12" hidden="1" x14ac:dyDescent="0.25">
      <c r="A261" s="52">
        <v>45076</v>
      </c>
      <c r="B261" s="27" t="s">
        <v>192</v>
      </c>
      <c r="C261" s="2" t="s">
        <v>1117</v>
      </c>
      <c r="D261" s="2">
        <v>1</v>
      </c>
      <c r="E261" s="27" t="s">
        <v>135</v>
      </c>
      <c r="F261" t="s">
        <v>402</v>
      </c>
      <c r="G261" s="47"/>
      <c r="H261" s="102"/>
      <c r="I261" s="63"/>
      <c r="J261" t="str">
        <f>CONCATENATE(Tabla1[[#This Row],[OBRA]],"/",Tabla1[[#This Row],[CODIGO ENSAYO]])</f>
        <v>10-2/1-9</v>
      </c>
      <c r="K261" s="2" t="str">
        <f>UPPER(TEXT(Tabla1[[#This Row],[FECHA INF]],"MMMM"))</f>
        <v>MAYO</v>
      </c>
      <c r="L26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252-23</v>
      </c>
    </row>
    <row r="262" spans="1:12" hidden="1" x14ac:dyDescent="0.25">
      <c r="A262" s="52">
        <v>45076</v>
      </c>
      <c r="B262" s="27" t="s">
        <v>192</v>
      </c>
      <c r="C262" s="2" t="s">
        <v>1118</v>
      </c>
      <c r="D262" s="2">
        <v>1</v>
      </c>
      <c r="E262" s="27" t="s">
        <v>135</v>
      </c>
      <c r="F262" t="s">
        <v>402</v>
      </c>
      <c r="G262" s="47"/>
      <c r="H262" s="102"/>
      <c r="I262" s="63"/>
      <c r="J262" t="str">
        <f>CONCATENATE(Tabla1[[#This Row],[OBRA]],"/",Tabla1[[#This Row],[CODIGO ENSAYO]])</f>
        <v>10-2/1-9</v>
      </c>
      <c r="K262" s="2" t="str">
        <f>UPPER(TEXT(Tabla1[[#This Row],[FECHA INF]],"MMMM"))</f>
        <v>MAYO</v>
      </c>
      <c r="L26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253-23</v>
      </c>
    </row>
    <row r="263" spans="1:12" hidden="1" x14ac:dyDescent="0.25">
      <c r="A263" s="52">
        <v>45076</v>
      </c>
      <c r="B263" s="27" t="s">
        <v>522</v>
      </c>
      <c r="C263" s="2" t="s">
        <v>1124</v>
      </c>
      <c r="D263" s="2">
        <v>21</v>
      </c>
      <c r="E263" s="27" t="s">
        <v>123</v>
      </c>
      <c r="F263" t="s">
        <v>15</v>
      </c>
      <c r="G263" s="47"/>
      <c r="H263" s="102"/>
      <c r="I263" s="63"/>
      <c r="J263" t="str">
        <f>CONCATENATE(Tabla1[[#This Row],[OBRA]],"/",Tabla1[[#This Row],[CODIGO ENSAYO]])</f>
        <v>17-1/1-1</v>
      </c>
      <c r="K263" s="2" t="str">
        <f>UPPER(TEXT(Tabla1[[#This Row],[FECHA INF]],"MMMM"))</f>
        <v>MAYO</v>
      </c>
      <c r="L26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257-23</v>
      </c>
    </row>
    <row r="264" spans="1:12" hidden="1" x14ac:dyDescent="0.25">
      <c r="A264" s="52">
        <v>45076</v>
      </c>
      <c r="B264" s="27" t="s">
        <v>522</v>
      </c>
      <c r="C264" s="2" t="s">
        <v>1125</v>
      </c>
      <c r="D264" s="2">
        <v>10</v>
      </c>
      <c r="E264" s="27" t="s">
        <v>123</v>
      </c>
      <c r="F264" t="s">
        <v>15</v>
      </c>
      <c r="G264" s="47"/>
      <c r="H264" s="102"/>
      <c r="I264" s="63"/>
      <c r="J264" t="str">
        <f>CONCATENATE(Tabla1[[#This Row],[OBRA]],"/",Tabla1[[#This Row],[CODIGO ENSAYO]])</f>
        <v>17-1/1-1</v>
      </c>
      <c r="K264" s="2" t="str">
        <f>UPPER(TEXT(Tabla1[[#This Row],[FECHA INF]],"MMMM"))</f>
        <v>MAYO</v>
      </c>
      <c r="L26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258-23</v>
      </c>
    </row>
    <row r="265" spans="1:12" hidden="1" x14ac:dyDescent="0.25">
      <c r="A265" s="52">
        <v>45076</v>
      </c>
      <c r="B265" s="27" t="s">
        <v>192</v>
      </c>
      <c r="C265" s="2" t="s">
        <v>1119</v>
      </c>
      <c r="D265" s="2">
        <v>1</v>
      </c>
      <c r="E265" s="27" t="s">
        <v>135</v>
      </c>
      <c r="F265" t="s">
        <v>402</v>
      </c>
      <c r="G265" s="47"/>
      <c r="H265" s="102"/>
      <c r="I265" s="63"/>
      <c r="J265" t="str">
        <f>CONCATENATE(Tabla1[[#This Row],[OBRA]],"/",Tabla1[[#This Row],[CODIGO ENSAYO]])</f>
        <v>10-2/1-9</v>
      </c>
      <c r="K265" s="2" t="str">
        <f>UPPER(TEXT(Tabla1[[#This Row],[FECHA INF]],"MMMM"))</f>
        <v>MAYO</v>
      </c>
      <c r="L26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261-23</v>
      </c>
    </row>
    <row r="266" spans="1:12" hidden="1" x14ac:dyDescent="0.25">
      <c r="A266" s="52">
        <v>45076</v>
      </c>
      <c r="B266" s="27" t="s">
        <v>522</v>
      </c>
      <c r="C266" s="2" t="s">
        <v>1136</v>
      </c>
      <c r="D266" s="2">
        <v>6</v>
      </c>
      <c r="E266" s="27" t="s">
        <v>171</v>
      </c>
      <c r="F266" t="s">
        <v>49</v>
      </c>
      <c r="G266" s="47"/>
      <c r="H266" s="102"/>
      <c r="I266" s="63"/>
      <c r="J266" t="str">
        <f>CONCATENATE(Tabla1[[#This Row],[OBRA]],"/",Tabla1[[#This Row],[CODIGO ENSAYO]])</f>
        <v>17-1/5-2</v>
      </c>
      <c r="K266" s="2" t="str">
        <f>UPPER(TEXT(Tabla1[[#This Row],[FECHA INF]],"MMMM"))</f>
        <v>MAYO</v>
      </c>
      <c r="L26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262-23</v>
      </c>
    </row>
    <row r="267" spans="1:12" hidden="1" x14ac:dyDescent="0.25">
      <c r="A267" s="52">
        <v>45076</v>
      </c>
      <c r="B267" s="27" t="s">
        <v>522</v>
      </c>
      <c r="C267" s="2" t="s">
        <v>1137</v>
      </c>
      <c r="D267" s="2">
        <v>6</v>
      </c>
      <c r="E267" s="27" t="s">
        <v>171</v>
      </c>
      <c r="F267" t="s">
        <v>49</v>
      </c>
      <c r="G267" s="47"/>
      <c r="H267" s="102"/>
      <c r="I267" s="63"/>
      <c r="J267" t="str">
        <f>CONCATENATE(Tabla1[[#This Row],[OBRA]],"/",Tabla1[[#This Row],[CODIGO ENSAYO]])</f>
        <v>17-1/5-2</v>
      </c>
      <c r="K267" s="2" t="str">
        <f>UPPER(TEXT(Tabla1[[#This Row],[FECHA INF]],"MMMM"))</f>
        <v>MAYO</v>
      </c>
      <c r="L26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263-23</v>
      </c>
    </row>
    <row r="268" spans="1:12" hidden="1" x14ac:dyDescent="0.25">
      <c r="A268" s="52">
        <v>45076</v>
      </c>
      <c r="B268" s="27" t="s">
        <v>522</v>
      </c>
      <c r="C268" s="2" t="s">
        <v>1138</v>
      </c>
      <c r="D268" s="2">
        <v>6</v>
      </c>
      <c r="E268" s="27" t="s">
        <v>171</v>
      </c>
      <c r="F268" t="s">
        <v>49</v>
      </c>
      <c r="G268" s="47"/>
      <c r="H268" s="102"/>
      <c r="I268" s="63"/>
      <c r="J268" t="str">
        <f>CONCATENATE(Tabla1[[#This Row],[OBRA]],"/",Tabla1[[#This Row],[CODIGO ENSAYO]])</f>
        <v>17-1/5-2</v>
      </c>
      <c r="K268" s="2" t="str">
        <f>UPPER(TEXT(Tabla1[[#This Row],[FECHA INF]],"MMMM"))</f>
        <v>MAYO</v>
      </c>
      <c r="L26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264-23</v>
      </c>
    </row>
    <row r="269" spans="1:12" hidden="1" x14ac:dyDescent="0.25">
      <c r="A269" s="52">
        <v>45076</v>
      </c>
      <c r="B269" s="27" t="s">
        <v>522</v>
      </c>
      <c r="C269" s="2" t="s">
        <v>1139</v>
      </c>
      <c r="D269" s="2">
        <v>6</v>
      </c>
      <c r="E269" s="27" t="s">
        <v>171</v>
      </c>
      <c r="F269" t="s">
        <v>49</v>
      </c>
      <c r="G269" s="47"/>
      <c r="H269" s="102"/>
      <c r="I269" s="63"/>
      <c r="J269" t="str">
        <f>CONCATENATE(Tabla1[[#This Row],[OBRA]],"/",Tabla1[[#This Row],[CODIGO ENSAYO]])</f>
        <v>17-1/5-2</v>
      </c>
      <c r="K269" s="2" t="str">
        <f>UPPER(TEXT(Tabla1[[#This Row],[FECHA INF]],"MMMM"))</f>
        <v>MAYO</v>
      </c>
      <c r="L26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265-23</v>
      </c>
    </row>
    <row r="270" spans="1:12" hidden="1" x14ac:dyDescent="0.25">
      <c r="A270" s="52">
        <v>45076</v>
      </c>
      <c r="B270" s="27" t="s">
        <v>522</v>
      </c>
      <c r="C270" s="2" t="s">
        <v>1140</v>
      </c>
      <c r="D270" s="2">
        <v>6</v>
      </c>
      <c r="E270" s="27" t="s">
        <v>171</v>
      </c>
      <c r="F270" t="s">
        <v>49</v>
      </c>
      <c r="G270" s="47"/>
      <c r="H270" s="102"/>
      <c r="I270" s="63"/>
      <c r="J270" t="str">
        <f>CONCATENATE(Tabla1[[#This Row],[OBRA]],"/",Tabla1[[#This Row],[CODIGO ENSAYO]])</f>
        <v>17-1/5-2</v>
      </c>
      <c r="K270" s="2" t="str">
        <f>UPPER(TEXT(Tabla1[[#This Row],[FECHA INF]],"MMMM"))</f>
        <v>MAYO</v>
      </c>
      <c r="L27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266-23</v>
      </c>
    </row>
    <row r="271" spans="1:12" hidden="1" x14ac:dyDescent="0.25">
      <c r="A271" s="52">
        <v>45076</v>
      </c>
      <c r="B271" s="27" t="s">
        <v>522</v>
      </c>
      <c r="C271" s="2" t="s">
        <v>1141</v>
      </c>
      <c r="D271" s="2">
        <v>6</v>
      </c>
      <c r="E271" s="27" t="s">
        <v>171</v>
      </c>
      <c r="F271" t="s">
        <v>49</v>
      </c>
      <c r="G271" s="47"/>
      <c r="H271" s="102"/>
      <c r="I271" s="63"/>
      <c r="J271" t="str">
        <f>CONCATENATE(Tabla1[[#This Row],[OBRA]],"/",Tabla1[[#This Row],[CODIGO ENSAYO]])</f>
        <v>17-1/5-2</v>
      </c>
      <c r="K271" s="2" t="str">
        <f>UPPER(TEXT(Tabla1[[#This Row],[FECHA INF]],"MMMM"))</f>
        <v>MAYO</v>
      </c>
      <c r="L27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267-23</v>
      </c>
    </row>
    <row r="272" spans="1:12" hidden="1" x14ac:dyDescent="0.25">
      <c r="A272" s="52">
        <v>45076</v>
      </c>
      <c r="B272" s="27" t="s">
        <v>192</v>
      </c>
      <c r="C272" s="2" t="s">
        <v>1120</v>
      </c>
      <c r="D272" s="2">
        <v>1</v>
      </c>
      <c r="E272" s="27" t="s">
        <v>135</v>
      </c>
      <c r="F272" t="s">
        <v>402</v>
      </c>
      <c r="G272" s="47"/>
      <c r="H272" s="102"/>
      <c r="I272" s="63"/>
      <c r="J272" t="str">
        <f>CONCATENATE(Tabla1[[#This Row],[OBRA]],"/",Tabla1[[#This Row],[CODIGO ENSAYO]])</f>
        <v>10-2/1-9</v>
      </c>
      <c r="K272" s="2" t="str">
        <f>UPPER(TEXT(Tabla1[[#This Row],[FECHA INF]],"MMMM"))</f>
        <v>MAYO</v>
      </c>
      <c r="L27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269-23</v>
      </c>
    </row>
    <row r="273" spans="1:12" hidden="1" x14ac:dyDescent="0.25">
      <c r="A273" s="52">
        <v>45076</v>
      </c>
      <c r="B273" s="27" t="s">
        <v>304</v>
      </c>
      <c r="C273" s="2" t="s">
        <v>1132</v>
      </c>
      <c r="D273" s="2">
        <v>1</v>
      </c>
      <c r="E273" s="27" t="s">
        <v>137</v>
      </c>
      <c r="F273" t="s">
        <v>240</v>
      </c>
      <c r="G273" s="47"/>
      <c r="H273" s="102"/>
      <c r="I273" s="63"/>
      <c r="J273" t="str">
        <f>CONCATENATE(Tabla1[[#This Row],[OBRA]],"/",Tabla1[[#This Row],[CODIGO ENSAYO]])</f>
        <v>15-1/2-1</v>
      </c>
      <c r="K273" s="2" t="str">
        <f>UPPER(TEXT(Tabla1[[#This Row],[FECHA INF]],"MMMM"))</f>
        <v>MAYO</v>
      </c>
      <c r="L27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277-23</v>
      </c>
    </row>
    <row r="274" spans="1:12" hidden="1" x14ac:dyDescent="0.25">
      <c r="A274" s="52">
        <v>45076</v>
      </c>
      <c r="B274" s="27" t="s">
        <v>304</v>
      </c>
      <c r="C274" s="2" t="s">
        <v>1132</v>
      </c>
      <c r="D274" s="2">
        <v>1</v>
      </c>
      <c r="E274" s="27" t="s">
        <v>138</v>
      </c>
      <c r="F274" t="s">
        <v>23</v>
      </c>
      <c r="G274" s="47"/>
      <c r="H274" s="102"/>
      <c r="I274" s="63"/>
      <c r="J274" t="str">
        <f>CONCATENATE(Tabla1[[#This Row],[OBRA]],"/",Tabla1[[#This Row],[CODIGO ENSAYO]])</f>
        <v>15-1/2-2</v>
      </c>
      <c r="K274" s="2" t="str">
        <f>UPPER(TEXT(Tabla1[[#This Row],[FECHA INF]],"MMMM"))</f>
        <v>MAYO</v>
      </c>
      <c r="L27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277-23</v>
      </c>
    </row>
    <row r="275" spans="1:12" hidden="1" x14ac:dyDescent="0.25">
      <c r="A275" s="52">
        <v>45076</v>
      </c>
      <c r="B275" s="27" t="s">
        <v>304</v>
      </c>
      <c r="C275" s="2" t="s">
        <v>1132</v>
      </c>
      <c r="D275" s="2">
        <v>1</v>
      </c>
      <c r="E275" s="27" t="s">
        <v>139</v>
      </c>
      <c r="F275" t="s">
        <v>468</v>
      </c>
      <c r="G275" s="47"/>
      <c r="H275" s="102"/>
      <c r="I275" s="63"/>
      <c r="J275" t="str">
        <f>CONCATENATE(Tabla1[[#This Row],[OBRA]],"/",Tabla1[[#This Row],[CODIGO ENSAYO]])</f>
        <v>15-1/2-3</v>
      </c>
      <c r="K275" s="2" t="str">
        <f>UPPER(TEXT(Tabla1[[#This Row],[FECHA INF]],"MMMM"))</f>
        <v>MAYO</v>
      </c>
      <c r="L27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277-23</v>
      </c>
    </row>
    <row r="276" spans="1:12" hidden="1" x14ac:dyDescent="0.25">
      <c r="A276" s="52">
        <v>45076</v>
      </c>
      <c r="B276" s="27" t="s">
        <v>304</v>
      </c>
      <c r="C276" s="2" t="s">
        <v>1133</v>
      </c>
      <c r="D276" s="2">
        <v>1</v>
      </c>
      <c r="E276" s="27" t="s">
        <v>163</v>
      </c>
      <c r="F276" t="s">
        <v>2</v>
      </c>
      <c r="G276" s="47"/>
      <c r="H276" s="102"/>
      <c r="I276" s="63"/>
      <c r="J276" t="str">
        <f>CONCATENATE(Tabla1[[#This Row],[OBRA]],"/",Tabla1[[#This Row],[CODIGO ENSAYO]])</f>
        <v>15-1/4-9</v>
      </c>
      <c r="K276" s="2" t="str">
        <f>UPPER(TEXT(Tabla1[[#This Row],[FECHA INF]],"MMMM"))</f>
        <v>MAYO</v>
      </c>
      <c r="L27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278-23</v>
      </c>
    </row>
    <row r="277" spans="1:12" hidden="1" x14ac:dyDescent="0.25">
      <c r="A277" s="52">
        <v>45076</v>
      </c>
      <c r="B277" s="27" t="s">
        <v>304</v>
      </c>
      <c r="C277" s="2" t="s">
        <v>1133</v>
      </c>
      <c r="D277" s="2">
        <v>1</v>
      </c>
      <c r="E277" s="27" t="s">
        <v>166</v>
      </c>
      <c r="F277" t="s">
        <v>44</v>
      </c>
      <c r="G277" s="47"/>
      <c r="H277" s="102"/>
      <c r="I277" s="63"/>
      <c r="J277" t="str">
        <f>CONCATENATE(Tabla1[[#This Row],[OBRA]],"/",Tabla1[[#This Row],[CODIGO ENSAYO]])</f>
        <v>15-1/4-12</v>
      </c>
      <c r="K277" s="2" t="str">
        <f>UPPER(TEXT(Tabla1[[#This Row],[FECHA INF]],"MMMM"))</f>
        <v>MAYO</v>
      </c>
      <c r="L27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278-23</v>
      </c>
    </row>
    <row r="278" spans="1:12" hidden="1" x14ac:dyDescent="0.25">
      <c r="A278" s="52">
        <v>45076</v>
      </c>
      <c r="B278" s="27" t="s">
        <v>304</v>
      </c>
      <c r="C278" s="2" t="s">
        <v>1134</v>
      </c>
      <c r="D278" s="2">
        <v>1</v>
      </c>
      <c r="E278" s="27" t="s">
        <v>140</v>
      </c>
      <c r="F278" t="s">
        <v>469</v>
      </c>
      <c r="G278" s="47"/>
      <c r="H278" s="102"/>
      <c r="I278" s="63"/>
      <c r="J278" t="str">
        <f>CONCATENATE(Tabla1[[#This Row],[OBRA]],"/",Tabla1[[#This Row],[CODIGO ENSAYO]])</f>
        <v>15-1/2-4</v>
      </c>
      <c r="K278" s="2" t="str">
        <f>UPPER(TEXT(Tabla1[[#This Row],[FECHA INF]],"MMMM"))</f>
        <v>MAYO</v>
      </c>
      <c r="L27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279-23</v>
      </c>
    </row>
    <row r="279" spans="1:12" hidden="1" x14ac:dyDescent="0.25">
      <c r="A279" s="52">
        <v>45076</v>
      </c>
      <c r="B279" s="27" t="s">
        <v>304</v>
      </c>
      <c r="C279" s="2" t="s">
        <v>1135</v>
      </c>
      <c r="D279" s="2">
        <v>1</v>
      </c>
      <c r="E279" s="27" t="s">
        <v>145</v>
      </c>
      <c r="F279" t="s">
        <v>281</v>
      </c>
      <c r="G279" s="47"/>
      <c r="H279" s="102"/>
      <c r="I279" s="63"/>
      <c r="J279" t="str">
        <f>CONCATENATE(Tabla1[[#This Row],[OBRA]],"/",Tabla1[[#This Row],[CODIGO ENSAYO]])</f>
        <v>15-1/2-9</v>
      </c>
      <c r="K279" s="2" t="str">
        <f>UPPER(TEXT(Tabla1[[#This Row],[FECHA INF]],"MMMM"))</f>
        <v>MAYO</v>
      </c>
      <c r="L27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280-23</v>
      </c>
    </row>
    <row r="280" spans="1:12" hidden="1" x14ac:dyDescent="0.25">
      <c r="A280" s="52">
        <v>45076</v>
      </c>
      <c r="B280" s="27" t="s">
        <v>304</v>
      </c>
      <c r="C280" s="2" t="s">
        <v>1128</v>
      </c>
      <c r="D280" s="2">
        <v>1</v>
      </c>
      <c r="E280" s="27" t="s">
        <v>137</v>
      </c>
      <c r="F280" t="s">
        <v>240</v>
      </c>
      <c r="G280" s="47"/>
      <c r="H280" s="102"/>
      <c r="I280" s="63"/>
      <c r="J280" t="str">
        <f>CONCATENATE(Tabla1[[#This Row],[OBRA]],"/",Tabla1[[#This Row],[CODIGO ENSAYO]])</f>
        <v>15-1/2-1</v>
      </c>
      <c r="K280" s="2" t="str">
        <f>UPPER(TEXT(Tabla1[[#This Row],[FECHA INF]],"MMMM"))</f>
        <v>MAYO</v>
      </c>
      <c r="L28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281-23</v>
      </c>
    </row>
    <row r="281" spans="1:12" hidden="1" x14ac:dyDescent="0.25">
      <c r="A281" s="52">
        <v>45076</v>
      </c>
      <c r="B281" s="27" t="s">
        <v>304</v>
      </c>
      <c r="C281" s="2" t="s">
        <v>1128</v>
      </c>
      <c r="D281" s="2">
        <v>1</v>
      </c>
      <c r="E281" s="27" t="s">
        <v>138</v>
      </c>
      <c r="F281" t="s">
        <v>23</v>
      </c>
      <c r="G281" s="47"/>
      <c r="H281" s="102"/>
      <c r="I281" s="63"/>
      <c r="J281" t="str">
        <f>CONCATENATE(Tabla1[[#This Row],[OBRA]],"/",Tabla1[[#This Row],[CODIGO ENSAYO]])</f>
        <v>15-1/2-2</v>
      </c>
      <c r="K281" s="2" t="str">
        <f>UPPER(TEXT(Tabla1[[#This Row],[FECHA INF]],"MMMM"))</f>
        <v>MAYO</v>
      </c>
      <c r="L28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281-23</v>
      </c>
    </row>
    <row r="282" spans="1:12" hidden="1" x14ac:dyDescent="0.25">
      <c r="A282" s="52">
        <v>45076</v>
      </c>
      <c r="B282" s="27" t="s">
        <v>304</v>
      </c>
      <c r="C282" s="2" t="s">
        <v>1128</v>
      </c>
      <c r="D282" s="2">
        <v>1</v>
      </c>
      <c r="E282" s="27" t="s">
        <v>139</v>
      </c>
      <c r="F282" t="s">
        <v>468</v>
      </c>
      <c r="G282" s="47"/>
      <c r="H282" s="102"/>
      <c r="I282" s="63"/>
      <c r="J282" t="str">
        <f>CONCATENATE(Tabla1[[#This Row],[OBRA]],"/",Tabla1[[#This Row],[CODIGO ENSAYO]])</f>
        <v>15-1/2-3</v>
      </c>
      <c r="K282" s="2" t="str">
        <f>UPPER(TEXT(Tabla1[[#This Row],[FECHA INF]],"MMMM"))</f>
        <v>MAYO</v>
      </c>
      <c r="L28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281-23</v>
      </c>
    </row>
    <row r="283" spans="1:12" hidden="1" x14ac:dyDescent="0.25">
      <c r="A283" s="52">
        <v>45076</v>
      </c>
      <c r="B283" s="27" t="s">
        <v>304</v>
      </c>
      <c r="C283" s="2" t="s">
        <v>1129</v>
      </c>
      <c r="D283" s="2">
        <v>1</v>
      </c>
      <c r="E283" s="27" t="s">
        <v>163</v>
      </c>
      <c r="F283" t="s">
        <v>2</v>
      </c>
      <c r="G283" s="47"/>
      <c r="H283" s="102"/>
      <c r="I283" s="63"/>
      <c r="J283" t="str">
        <f>CONCATENATE(Tabla1[[#This Row],[OBRA]],"/",Tabla1[[#This Row],[CODIGO ENSAYO]])</f>
        <v>15-1/4-9</v>
      </c>
      <c r="K283" s="2" t="str">
        <f>UPPER(TEXT(Tabla1[[#This Row],[FECHA INF]],"MMMM"))</f>
        <v>MAYO</v>
      </c>
      <c r="L28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282-23</v>
      </c>
    </row>
    <row r="284" spans="1:12" hidden="1" x14ac:dyDescent="0.25">
      <c r="A284" s="52">
        <v>45076</v>
      </c>
      <c r="B284" s="27" t="s">
        <v>304</v>
      </c>
      <c r="C284" s="2" t="s">
        <v>1130</v>
      </c>
      <c r="D284" s="2">
        <v>1</v>
      </c>
      <c r="E284" s="27" t="s">
        <v>166</v>
      </c>
      <c r="F284" t="s">
        <v>44</v>
      </c>
      <c r="G284" s="47"/>
      <c r="H284" s="102"/>
      <c r="I284" s="63"/>
      <c r="J284" t="str">
        <f>CONCATENATE(Tabla1[[#This Row],[OBRA]],"/",Tabla1[[#This Row],[CODIGO ENSAYO]])</f>
        <v>15-1/4-12</v>
      </c>
      <c r="K284" s="2" t="str">
        <f>UPPER(TEXT(Tabla1[[#This Row],[FECHA INF]],"MMMM"))</f>
        <v>MAYO</v>
      </c>
      <c r="L28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283-23</v>
      </c>
    </row>
    <row r="285" spans="1:12" hidden="1" x14ac:dyDescent="0.25">
      <c r="A285" s="52">
        <v>45076</v>
      </c>
      <c r="B285" s="27" t="s">
        <v>192</v>
      </c>
      <c r="C285" s="2" t="s">
        <v>1121</v>
      </c>
      <c r="D285" s="2">
        <v>1</v>
      </c>
      <c r="E285" s="27" t="s">
        <v>135</v>
      </c>
      <c r="F285" t="s">
        <v>402</v>
      </c>
      <c r="G285" s="47"/>
      <c r="H285" s="102"/>
      <c r="I285" s="63"/>
      <c r="J285" t="str">
        <f>CONCATENATE(Tabla1[[#This Row],[OBRA]],"/",Tabla1[[#This Row],[CODIGO ENSAYO]])</f>
        <v>10-2/1-9</v>
      </c>
      <c r="K285" s="2" t="str">
        <f>UPPER(TEXT(Tabla1[[#This Row],[FECHA INF]],"MMMM"))</f>
        <v>MAYO</v>
      </c>
      <c r="L28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284-23</v>
      </c>
    </row>
    <row r="286" spans="1:12" hidden="1" x14ac:dyDescent="0.25">
      <c r="A286" s="52">
        <v>45076</v>
      </c>
      <c r="B286" s="27" t="s">
        <v>304</v>
      </c>
      <c r="C286" s="2" t="s">
        <v>1121</v>
      </c>
      <c r="D286" s="2">
        <v>1</v>
      </c>
      <c r="E286" s="27" t="s">
        <v>140</v>
      </c>
      <c r="F286" t="s">
        <v>469</v>
      </c>
      <c r="G286" s="47"/>
      <c r="H286" s="102"/>
      <c r="I286" s="63"/>
      <c r="J286" t="str">
        <f>CONCATENATE(Tabla1[[#This Row],[OBRA]],"/",Tabla1[[#This Row],[CODIGO ENSAYO]])</f>
        <v>15-1/2-4</v>
      </c>
      <c r="K286" s="2" t="str">
        <f>UPPER(TEXT(Tabla1[[#This Row],[FECHA INF]],"MMMM"))</f>
        <v>MAYO</v>
      </c>
      <c r="L28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284-23</v>
      </c>
    </row>
    <row r="287" spans="1:12" hidden="1" x14ac:dyDescent="0.25">
      <c r="A287" s="52">
        <v>45076</v>
      </c>
      <c r="B287" s="27" t="s">
        <v>304</v>
      </c>
      <c r="C287" s="2" t="s">
        <v>1131</v>
      </c>
      <c r="D287" s="2">
        <v>1</v>
      </c>
      <c r="E287" s="27" t="s">
        <v>145</v>
      </c>
      <c r="F287" t="s">
        <v>281</v>
      </c>
      <c r="G287" s="47"/>
      <c r="H287" s="102"/>
      <c r="I287" s="63"/>
      <c r="J287" t="str">
        <f>CONCATENATE(Tabla1[[#This Row],[OBRA]],"/",Tabla1[[#This Row],[CODIGO ENSAYO]])</f>
        <v>15-1/2-9</v>
      </c>
      <c r="K287" s="2" t="str">
        <f>UPPER(TEXT(Tabla1[[#This Row],[FECHA INF]],"MMMM"))</f>
        <v>MAYO</v>
      </c>
      <c r="L28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285-23</v>
      </c>
    </row>
    <row r="288" spans="1:12" hidden="1" x14ac:dyDescent="0.25">
      <c r="A288" s="52">
        <v>45076</v>
      </c>
      <c r="B288" s="27" t="s">
        <v>192</v>
      </c>
      <c r="C288" s="2" t="s">
        <v>1116</v>
      </c>
      <c r="D288" s="2">
        <v>510</v>
      </c>
      <c r="E288" s="27" t="s">
        <v>881</v>
      </c>
      <c r="F288" t="s">
        <v>792</v>
      </c>
      <c r="G288" s="47"/>
      <c r="H288" s="102"/>
      <c r="I288" s="63"/>
      <c r="J288" t="str">
        <f>CONCATENATE(Tabla1[[#This Row],[OBRA]],"/",Tabla1[[#This Row],[CODIGO ENSAYO]])</f>
        <v>10-2/8-4a</v>
      </c>
      <c r="K288" s="2" t="str">
        <f>UPPER(TEXT(Tabla1[[#This Row],[FECHA INF]],"MMMM"))</f>
        <v>MAYO</v>
      </c>
      <c r="L28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del 1 al 30</v>
      </c>
    </row>
    <row r="289" spans="1:12" hidden="1" x14ac:dyDescent="0.25">
      <c r="A289" s="52">
        <v>45107</v>
      </c>
      <c r="B289" s="27" t="s">
        <v>522</v>
      </c>
      <c r="C289" s="2" t="s">
        <v>1156</v>
      </c>
      <c r="D289" s="2">
        <v>1</v>
      </c>
      <c r="E289" s="27" t="s">
        <v>175</v>
      </c>
      <c r="F289" t="s">
        <v>390</v>
      </c>
      <c r="G289" s="47"/>
      <c r="H289" s="102"/>
      <c r="I289" s="63"/>
      <c r="J289" t="str">
        <f>CONCATENATE(Tabla1[[#This Row],[OBRA]],"/",Tabla1[[#This Row],[CODIGO ENSAYO]])</f>
        <v>17-1/7-1</v>
      </c>
      <c r="K289" s="2" t="str">
        <f>UPPER(TEXT(Tabla1[[#This Row],[FECHA INF]],"MMMM"))</f>
        <v>JUNIO</v>
      </c>
      <c r="L28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(16/06/2023)</v>
      </c>
    </row>
    <row r="290" spans="1:12" hidden="1" x14ac:dyDescent="0.25">
      <c r="A290" s="52">
        <v>45107</v>
      </c>
      <c r="B290" s="27" t="s">
        <v>192</v>
      </c>
      <c r="C290" s="2" t="s">
        <v>1155</v>
      </c>
      <c r="D290" s="2">
        <v>1</v>
      </c>
      <c r="E290" s="27" t="s">
        <v>175</v>
      </c>
      <c r="F290" t="s">
        <v>390</v>
      </c>
      <c r="G290" s="47"/>
      <c r="H290" s="102"/>
      <c r="I290" s="63"/>
      <c r="J290" t="str">
        <f>CONCATENATE(Tabla1[[#This Row],[OBRA]],"/",Tabla1[[#This Row],[CODIGO ENSAYO]])</f>
        <v>10-2/7-1</v>
      </c>
      <c r="K290" s="2" t="str">
        <f>UPPER(TEXT(Tabla1[[#This Row],[FECHA INF]],"MMMM"))</f>
        <v>JUNIO</v>
      </c>
      <c r="L29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(2023/06/07)</v>
      </c>
    </row>
    <row r="291" spans="1:12" hidden="1" x14ac:dyDescent="0.25">
      <c r="A291" s="52">
        <v>45107</v>
      </c>
      <c r="B291" s="27" t="s">
        <v>192</v>
      </c>
      <c r="C291" s="2" t="s">
        <v>1153</v>
      </c>
      <c r="D291" s="2">
        <v>2</v>
      </c>
      <c r="E291" s="27" t="s">
        <v>135</v>
      </c>
      <c r="F291" t="s">
        <v>402</v>
      </c>
      <c r="G291" s="47"/>
      <c r="H291" s="102"/>
      <c r="I291" s="63"/>
      <c r="J291" t="str">
        <f>CONCATENATE(Tabla1[[#This Row],[OBRA]],"/",Tabla1[[#This Row],[CODIGO ENSAYO]])</f>
        <v>10-2/1-9</v>
      </c>
      <c r="K291" s="2" t="str">
        <f>UPPER(TEXT(Tabla1[[#This Row],[FECHA INF]],"MMMM"))</f>
        <v>JUNIO</v>
      </c>
      <c r="L29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0292-23</v>
      </c>
    </row>
    <row r="292" spans="1:12" hidden="1" x14ac:dyDescent="0.25">
      <c r="A292" s="52">
        <v>45107</v>
      </c>
      <c r="B292" s="27" t="s">
        <v>148</v>
      </c>
      <c r="C292" s="2" t="s">
        <v>1149</v>
      </c>
      <c r="D292" s="2">
        <v>1</v>
      </c>
      <c r="E292" s="27" t="s">
        <v>123</v>
      </c>
      <c r="F292" t="s">
        <v>15</v>
      </c>
      <c r="G292" s="47"/>
      <c r="H292" s="102"/>
      <c r="I292" s="63"/>
      <c r="J292" t="str">
        <f>CONCATENATE(Tabla1[[#This Row],[OBRA]],"/",Tabla1[[#This Row],[CODIGO ENSAYO]])</f>
        <v>3-1/1-1</v>
      </c>
      <c r="K292" s="2" t="str">
        <f>UPPER(TEXT(Tabla1[[#This Row],[FECHA INF]],"MMMM"))</f>
        <v>JUNIO</v>
      </c>
      <c r="L29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0304-23</v>
      </c>
    </row>
    <row r="293" spans="1:12" hidden="1" x14ac:dyDescent="0.25">
      <c r="A293" s="52">
        <v>45107</v>
      </c>
      <c r="B293" s="27" t="s">
        <v>148</v>
      </c>
      <c r="C293" s="2" t="s">
        <v>1150</v>
      </c>
      <c r="D293" s="2">
        <v>3</v>
      </c>
      <c r="E293" s="27" t="s">
        <v>123</v>
      </c>
      <c r="F293" t="s">
        <v>15</v>
      </c>
      <c r="G293" s="47"/>
      <c r="H293" s="102"/>
      <c r="I293" s="63"/>
      <c r="J293" t="str">
        <f>CONCATENATE(Tabla1[[#This Row],[OBRA]],"/",Tabla1[[#This Row],[CODIGO ENSAYO]])</f>
        <v>3-1/1-1</v>
      </c>
      <c r="K293" s="2" t="str">
        <f>UPPER(TEXT(Tabla1[[#This Row],[FECHA INF]],"MMMM"))</f>
        <v>JUNIO</v>
      </c>
      <c r="L29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0306-23</v>
      </c>
    </row>
    <row r="294" spans="1:12" hidden="1" x14ac:dyDescent="0.25">
      <c r="A294" s="52">
        <v>45107</v>
      </c>
      <c r="B294" s="27" t="s">
        <v>148</v>
      </c>
      <c r="C294" s="2" t="s">
        <v>1151</v>
      </c>
      <c r="D294" s="2">
        <v>2</v>
      </c>
      <c r="E294" s="27" t="s">
        <v>123</v>
      </c>
      <c r="F294" t="s">
        <v>15</v>
      </c>
      <c r="G294" s="47"/>
      <c r="H294" s="102"/>
      <c r="I294" s="63"/>
      <c r="J294" t="str">
        <f>CONCATENATE(Tabla1[[#This Row],[OBRA]],"/",Tabla1[[#This Row],[CODIGO ENSAYO]])</f>
        <v>3-1/1-1</v>
      </c>
      <c r="K294" s="2" t="str">
        <f>UPPER(TEXT(Tabla1[[#This Row],[FECHA INF]],"MMMM"))</f>
        <v>JUNIO</v>
      </c>
      <c r="L29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0307-23</v>
      </c>
    </row>
    <row r="295" spans="1:12" hidden="1" x14ac:dyDescent="0.25">
      <c r="A295" s="52">
        <v>45107</v>
      </c>
      <c r="B295" s="27" t="s">
        <v>192</v>
      </c>
      <c r="C295" s="2" t="s">
        <v>1154</v>
      </c>
      <c r="D295" s="2">
        <v>1</v>
      </c>
      <c r="E295" s="27" t="s">
        <v>135</v>
      </c>
      <c r="F295" t="s">
        <v>402</v>
      </c>
      <c r="G295" s="47"/>
      <c r="H295" s="102"/>
      <c r="I295" s="63"/>
      <c r="J295" t="str">
        <f>CONCATENATE(Tabla1[[#This Row],[OBRA]],"/",Tabla1[[#This Row],[CODIGO ENSAYO]])</f>
        <v>10-2/1-9</v>
      </c>
      <c r="K295" s="2" t="str">
        <f>UPPER(TEXT(Tabla1[[#This Row],[FECHA INF]],"MMMM"))</f>
        <v>JUNIO</v>
      </c>
      <c r="L29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0309-23</v>
      </c>
    </row>
    <row r="296" spans="1:12" hidden="1" x14ac:dyDescent="0.25">
      <c r="A296" s="52">
        <v>45107</v>
      </c>
      <c r="B296" s="27" t="s">
        <v>148</v>
      </c>
      <c r="C296" s="2" t="s">
        <v>1152</v>
      </c>
      <c r="D296" s="2">
        <v>1</v>
      </c>
      <c r="E296" s="27" t="s">
        <v>123</v>
      </c>
      <c r="F296" t="s">
        <v>15</v>
      </c>
      <c r="G296" s="47"/>
      <c r="H296" s="102"/>
      <c r="I296" s="63"/>
      <c r="J296" t="str">
        <f>CONCATENATE(Tabla1[[#This Row],[OBRA]],"/",Tabla1[[#This Row],[CODIGO ENSAYO]])</f>
        <v>3-1/1-1</v>
      </c>
      <c r="K296" s="2" t="str">
        <f>UPPER(TEXT(Tabla1[[#This Row],[FECHA INF]],"MMMM"))</f>
        <v>JUNIO</v>
      </c>
      <c r="L29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0311-23</v>
      </c>
    </row>
    <row r="297" spans="1:12" hidden="1" x14ac:dyDescent="0.25">
      <c r="A297" s="52">
        <v>45107</v>
      </c>
      <c r="B297" s="27" t="s">
        <v>148</v>
      </c>
      <c r="C297" s="2" t="s">
        <v>1173</v>
      </c>
      <c r="D297" s="2">
        <v>1</v>
      </c>
      <c r="E297" s="27" t="s">
        <v>137</v>
      </c>
      <c r="F297" t="s">
        <v>240</v>
      </c>
      <c r="G297" s="47"/>
      <c r="H297" s="102"/>
      <c r="I297" s="63"/>
      <c r="J297" t="str">
        <f>CONCATENATE(Tabla1[[#This Row],[OBRA]],"/",Tabla1[[#This Row],[CODIGO ENSAYO]])</f>
        <v>3-1/2-1</v>
      </c>
      <c r="K297" s="2" t="str">
        <f>UPPER(TEXT(Tabla1[[#This Row],[FECHA INF]],"MMMM"))</f>
        <v>JUNIO</v>
      </c>
      <c r="L29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0314-23</v>
      </c>
    </row>
    <row r="298" spans="1:12" hidden="1" x14ac:dyDescent="0.25">
      <c r="A298" s="52">
        <v>45107</v>
      </c>
      <c r="B298" s="27" t="s">
        <v>148</v>
      </c>
      <c r="C298" s="2" t="s">
        <v>1173</v>
      </c>
      <c r="D298" s="2">
        <v>1</v>
      </c>
      <c r="E298" s="27" t="s">
        <v>138</v>
      </c>
      <c r="F298" t="s">
        <v>23</v>
      </c>
      <c r="G298" s="47"/>
      <c r="H298" s="102"/>
      <c r="I298" s="63"/>
      <c r="J298" t="str">
        <f>CONCATENATE(Tabla1[[#This Row],[OBRA]],"/",Tabla1[[#This Row],[CODIGO ENSAYO]])</f>
        <v>3-1/2-2</v>
      </c>
      <c r="K298" s="2" t="str">
        <f>UPPER(TEXT(Tabla1[[#This Row],[FECHA INF]],"MMMM"))</f>
        <v>JUNIO</v>
      </c>
      <c r="L29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0314-23</v>
      </c>
    </row>
    <row r="299" spans="1:12" hidden="1" x14ac:dyDescent="0.25">
      <c r="A299" s="52">
        <v>45107</v>
      </c>
      <c r="B299" s="27" t="s">
        <v>148</v>
      </c>
      <c r="C299" s="2" t="s">
        <v>1173</v>
      </c>
      <c r="D299" s="2">
        <v>1</v>
      </c>
      <c r="E299" s="27" t="s">
        <v>139</v>
      </c>
      <c r="F299" t="s">
        <v>468</v>
      </c>
      <c r="G299" s="47"/>
      <c r="H299" s="102"/>
      <c r="I299" s="63"/>
      <c r="J299" t="str">
        <f>CONCATENATE(Tabla1[[#This Row],[OBRA]],"/",Tabla1[[#This Row],[CODIGO ENSAYO]])</f>
        <v>3-1/2-3</v>
      </c>
      <c r="K299" s="2" t="str">
        <f>UPPER(TEXT(Tabla1[[#This Row],[FECHA INF]],"MMMM"))</f>
        <v>JUNIO</v>
      </c>
      <c r="L29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0314-23</v>
      </c>
    </row>
    <row r="300" spans="1:12" hidden="1" x14ac:dyDescent="0.25">
      <c r="A300" s="52">
        <v>45107</v>
      </c>
      <c r="B300" s="27" t="s">
        <v>148</v>
      </c>
      <c r="C300" s="2" t="s">
        <v>1157</v>
      </c>
      <c r="D300" s="2">
        <v>1</v>
      </c>
      <c r="E300" s="27" t="s">
        <v>163</v>
      </c>
      <c r="F300" t="s">
        <v>2</v>
      </c>
      <c r="G300" s="47"/>
      <c r="H300" s="102"/>
      <c r="I300" s="63"/>
      <c r="J300" t="str">
        <f>CONCATENATE(Tabla1[[#This Row],[OBRA]],"/",Tabla1[[#This Row],[CODIGO ENSAYO]])</f>
        <v>3-1/4-9</v>
      </c>
      <c r="K300" s="2" t="str">
        <f>UPPER(TEXT(Tabla1[[#This Row],[FECHA INF]],"MMMM"))</f>
        <v>JUNIO</v>
      </c>
      <c r="L30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0315-23</v>
      </c>
    </row>
    <row r="301" spans="1:12" hidden="1" x14ac:dyDescent="0.25">
      <c r="A301" s="52">
        <v>45107</v>
      </c>
      <c r="B301" s="27" t="s">
        <v>148</v>
      </c>
      <c r="C301" s="2" t="s">
        <v>1158</v>
      </c>
      <c r="D301" s="2">
        <v>1</v>
      </c>
      <c r="E301" s="27" t="s">
        <v>159</v>
      </c>
      <c r="F301" t="s">
        <v>39</v>
      </c>
      <c r="G301" s="47"/>
      <c r="H301" s="102"/>
      <c r="I301" s="63"/>
      <c r="J301" t="str">
        <f>CONCATENATE(Tabla1[[#This Row],[OBRA]],"/",Tabla1[[#This Row],[CODIGO ENSAYO]])</f>
        <v>3-1/4-4</v>
      </c>
      <c r="K301" s="2" t="str">
        <f>UPPER(TEXT(Tabla1[[#This Row],[FECHA INF]],"MMMM"))</f>
        <v>JUNIO</v>
      </c>
      <c r="L30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0316-23</v>
      </c>
    </row>
    <row r="302" spans="1:12" hidden="1" x14ac:dyDescent="0.25">
      <c r="A302" s="52">
        <v>45107</v>
      </c>
      <c r="B302" s="27" t="s">
        <v>192</v>
      </c>
      <c r="C302" s="2" t="s">
        <v>1174</v>
      </c>
      <c r="D302" s="2">
        <v>510</v>
      </c>
      <c r="E302" s="27" t="s">
        <v>881</v>
      </c>
      <c r="F302" t="s">
        <v>792</v>
      </c>
      <c r="G302" s="47"/>
      <c r="H302" s="102"/>
      <c r="I302" s="63"/>
      <c r="J302" t="str">
        <f>CONCATENATE(Tabla1[[#This Row],[OBRA]],"/",Tabla1[[#This Row],[CODIGO ENSAYO]])</f>
        <v>10-2/8-4a</v>
      </c>
      <c r="K302" s="2" t="str">
        <f>UPPER(TEXT(Tabla1[[#This Row],[FECHA INF]],"MMMM"))</f>
        <v>JUNIO</v>
      </c>
      <c r="L30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 al 30</v>
      </c>
    </row>
    <row r="303" spans="1:12" hidden="1" x14ac:dyDescent="0.25">
      <c r="A303" s="52">
        <v>45137</v>
      </c>
      <c r="B303" s="27" t="s">
        <v>522</v>
      </c>
      <c r="C303" s="2" t="s">
        <v>1258</v>
      </c>
      <c r="D303" s="2">
        <v>2</v>
      </c>
      <c r="E303" s="27" t="s">
        <v>175</v>
      </c>
      <c r="F303" t="s">
        <v>390</v>
      </c>
      <c r="G303" s="47"/>
      <c r="H303" s="102"/>
      <c r="I303" s="63"/>
      <c r="J303" t="str">
        <f>CONCATENATE(Tabla1[[#This Row],[OBRA]],"/",Tabla1[[#This Row],[CODIGO ENSAYO]])</f>
        <v>17-1/7-1</v>
      </c>
      <c r="K303" s="2" t="str">
        <f>UPPER(TEXT(Tabla1[[#This Row],[FECHA INF]],"MMMM"))</f>
        <v>JULIO</v>
      </c>
      <c r="L30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(2023-07-21-27)</v>
      </c>
    </row>
    <row r="304" spans="1:12" hidden="1" x14ac:dyDescent="0.25">
      <c r="A304" s="52">
        <v>45137</v>
      </c>
      <c r="B304" s="27" t="s">
        <v>192</v>
      </c>
      <c r="C304" s="2" t="s">
        <v>1256</v>
      </c>
      <c r="D304" s="2">
        <v>540</v>
      </c>
      <c r="E304" s="27" t="s">
        <v>182</v>
      </c>
      <c r="F304" t="s">
        <v>792</v>
      </c>
      <c r="G304" s="47"/>
      <c r="H304" s="102"/>
      <c r="I304" s="63"/>
      <c r="J304" t="str">
        <f>CONCATENATE(Tabla1[[#This Row],[OBRA]],"/",Tabla1[[#This Row],[CODIGO ENSAYO]])</f>
        <v>10-2/8-4A</v>
      </c>
      <c r="K304" s="2" t="str">
        <f>UPPER(TEXT(Tabla1[[#This Row],[FECHA INF]],"MMMM"))</f>
        <v>JULIO</v>
      </c>
      <c r="L30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 AL 31</v>
      </c>
    </row>
    <row r="305" spans="1:12" hidden="1" x14ac:dyDescent="0.25">
      <c r="A305" s="52">
        <v>45137</v>
      </c>
      <c r="B305" s="27" t="s">
        <v>522</v>
      </c>
      <c r="C305" s="2" t="s">
        <v>1257</v>
      </c>
      <c r="D305" s="2">
        <v>24</v>
      </c>
      <c r="E305" s="27" t="s">
        <v>123</v>
      </c>
      <c r="F305" t="s">
        <v>15</v>
      </c>
      <c r="G305" s="47"/>
      <c r="H305" s="102"/>
      <c r="I305" s="63"/>
      <c r="J305" t="str">
        <f>CONCATENATE(Tabla1[[#This Row],[OBRA]],"/",Tabla1[[#This Row],[CODIGO ENSAYO]])</f>
        <v>17-1/1-1</v>
      </c>
      <c r="K305" s="2" t="str">
        <f>UPPER(TEXT(Tabla1[[#This Row],[FECHA INF]],"MMMM"))</f>
        <v>JULIO</v>
      </c>
      <c r="L30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272-23</v>
      </c>
    </row>
    <row r="306" spans="1:12" hidden="1" x14ac:dyDescent="0.25">
      <c r="A306" s="52">
        <v>45137</v>
      </c>
      <c r="B306" s="27" t="s">
        <v>192</v>
      </c>
      <c r="C306" s="2" t="s">
        <v>1255</v>
      </c>
      <c r="D306" s="2">
        <v>2</v>
      </c>
      <c r="E306" s="27" t="s">
        <v>141</v>
      </c>
      <c r="F306" t="s">
        <v>437</v>
      </c>
      <c r="G306" s="47"/>
      <c r="H306" s="102"/>
      <c r="I306" s="63"/>
      <c r="J306" t="str">
        <f>CONCATENATE(Tabla1[[#This Row],[OBRA]],"/",Tabla1[[#This Row],[CODIGO ENSAYO]])</f>
        <v>10-2/2-5</v>
      </c>
      <c r="K306" s="2" t="str">
        <f>UPPER(TEXT(Tabla1[[#This Row],[FECHA INF]],"MMMM"))</f>
        <v>JULIO</v>
      </c>
      <c r="L30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388-23</v>
      </c>
    </row>
    <row r="307" spans="1:12" hidden="1" x14ac:dyDescent="0.25">
      <c r="A307" s="52">
        <v>45138</v>
      </c>
      <c r="B307" s="27" t="s">
        <v>854</v>
      </c>
      <c r="C307" s="2" t="s">
        <v>1148</v>
      </c>
      <c r="D307" s="2">
        <v>3</v>
      </c>
      <c r="E307" s="27" t="s">
        <v>175</v>
      </c>
      <c r="F307" t="s">
        <v>390</v>
      </c>
      <c r="G307" s="47"/>
      <c r="H307" s="102"/>
      <c r="I307" s="63" t="s">
        <v>1005</v>
      </c>
      <c r="J307" t="str">
        <f>CONCATENATE(Tabla1[[#This Row],[OBRA]],"/",Tabla1[[#This Row],[CODIGO ENSAYO]])</f>
        <v>8-1/7-1</v>
      </c>
      <c r="K307" s="2" t="str">
        <f>UPPER(TEXT(Tabla1[[#This Row],[FECHA INF]],"MMMM"))</f>
        <v>JULIO</v>
      </c>
      <c r="L30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0302-23</v>
      </c>
    </row>
    <row r="308" spans="1:12" hidden="1" x14ac:dyDescent="0.25">
      <c r="A308" s="52">
        <v>45138</v>
      </c>
      <c r="B308" s="27" t="s">
        <v>854</v>
      </c>
      <c r="C308" s="2" t="s">
        <v>1163</v>
      </c>
      <c r="D308" s="2">
        <v>6</v>
      </c>
      <c r="E308" s="27" t="s">
        <v>123</v>
      </c>
      <c r="F308" t="s">
        <v>15</v>
      </c>
      <c r="G308" s="47"/>
      <c r="H308" s="102"/>
      <c r="I308" s="63" t="s">
        <v>1005</v>
      </c>
      <c r="J308" t="str">
        <f>CONCATENATE(Tabla1[[#This Row],[OBRA]],"/",Tabla1[[#This Row],[CODIGO ENSAYO]])</f>
        <v>8-1/1-1</v>
      </c>
      <c r="K308" s="2" t="str">
        <f>UPPER(TEXT(Tabla1[[#This Row],[FECHA INF]],"MMMM"))</f>
        <v>JULIO</v>
      </c>
      <c r="L30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0317-23</v>
      </c>
    </row>
    <row r="309" spans="1:12" hidden="1" x14ac:dyDescent="0.25">
      <c r="A309" s="52">
        <v>45138</v>
      </c>
      <c r="B309" s="27" t="s">
        <v>854</v>
      </c>
      <c r="C309" s="2" t="s">
        <v>1164</v>
      </c>
      <c r="D309" s="2">
        <v>6</v>
      </c>
      <c r="E309" s="27" t="s">
        <v>123</v>
      </c>
      <c r="F309" t="s">
        <v>15</v>
      </c>
      <c r="G309" s="47"/>
      <c r="H309" s="102"/>
      <c r="I309" s="63" t="s">
        <v>1005</v>
      </c>
      <c r="J309" t="str">
        <f>CONCATENATE(Tabla1[[#This Row],[OBRA]],"/",Tabla1[[#This Row],[CODIGO ENSAYO]])</f>
        <v>8-1/1-1</v>
      </c>
      <c r="K309" s="2" t="str">
        <f>UPPER(TEXT(Tabla1[[#This Row],[FECHA INF]],"MMMM"))</f>
        <v>JULIO</v>
      </c>
      <c r="L30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0318-23</v>
      </c>
    </row>
    <row r="310" spans="1:12" hidden="1" x14ac:dyDescent="0.25">
      <c r="A310" s="52">
        <v>45138</v>
      </c>
      <c r="B310" s="27" t="s">
        <v>854</v>
      </c>
      <c r="C310" s="2" t="s">
        <v>1178</v>
      </c>
      <c r="D310" s="2">
        <v>9</v>
      </c>
      <c r="E310" s="27" t="s">
        <v>123</v>
      </c>
      <c r="F310" t="s">
        <v>15</v>
      </c>
      <c r="G310" s="47"/>
      <c r="H310" s="102"/>
      <c r="I310" s="63" t="s">
        <v>1005</v>
      </c>
      <c r="J310" t="str">
        <f>CONCATENATE(Tabla1[[#This Row],[OBRA]],"/",Tabla1[[#This Row],[CODIGO ENSAYO]])</f>
        <v>8-1/1-1</v>
      </c>
      <c r="K310" s="2" t="str">
        <f>UPPER(TEXT(Tabla1[[#This Row],[FECHA INF]],"MMMM"))</f>
        <v>JULIO</v>
      </c>
      <c r="L31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0319-23</v>
      </c>
    </row>
    <row r="311" spans="1:12" hidden="1" x14ac:dyDescent="0.25">
      <c r="A311" s="52">
        <v>45138</v>
      </c>
      <c r="B311" s="27" t="s">
        <v>854</v>
      </c>
      <c r="C311" s="2" t="s">
        <v>1179</v>
      </c>
      <c r="D311" s="2">
        <v>12</v>
      </c>
      <c r="E311" s="27" t="s">
        <v>123</v>
      </c>
      <c r="F311" t="s">
        <v>15</v>
      </c>
      <c r="G311" s="47"/>
      <c r="H311" s="102"/>
      <c r="I311" s="63" t="s">
        <v>1005</v>
      </c>
      <c r="J311" t="str">
        <f>CONCATENATE(Tabla1[[#This Row],[OBRA]],"/",Tabla1[[#This Row],[CODIGO ENSAYO]])</f>
        <v>8-1/1-1</v>
      </c>
      <c r="K311" s="2" t="str">
        <f>UPPER(TEXT(Tabla1[[#This Row],[FECHA INF]],"MMMM"))</f>
        <v>JULIO</v>
      </c>
      <c r="L3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0320-23</v>
      </c>
    </row>
    <row r="312" spans="1:12" hidden="1" x14ac:dyDescent="0.25">
      <c r="A312" s="52">
        <v>45138</v>
      </c>
      <c r="B312" s="27" t="s">
        <v>854</v>
      </c>
      <c r="C312" s="2" t="s">
        <v>1180</v>
      </c>
      <c r="D312" s="2">
        <v>8</v>
      </c>
      <c r="E312" s="27" t="s">
        <v>123</v>
      </c>
      <c r="F312" t="s">
        <v>15</v>
      </c>
      <c r="G312" s="47"/>
      <c r="H312" s="102"/>
      <c r="I312" s="63" t="s">
        <v>1005</v>
      </c>
      <c r="J312" t="str">
        <f>CONCATENATE(Tabla1[[#This Row],[OBRA]],"/",Tabla1[[#This Row],[CODIGO ENSAYO]])</f>
        <v>8-1/1-1</v>
      </c>
      <c r="K312" s="2" t="str">
        <f>UPPER(TEXT(Tabla1[[#This Row],[FECHA INF]],"MMMM"))</f>
        <v>JULIO</v>
      </c>
      <c r="L31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0321-23</v>
      </c>
    </row>
    <row r="313" spans="1:12" hidden="1" x14ac:dyDescent="0.25">
      <c r="A313" s="52">
        <v>45138</v>
      </c>
      <c r="B313" s="27" t="s">
        <v>854</v>
      </c>
      <c r="C313" s="2" t="s">
        <v>1181</v>
      </c>
      <c r="D313" s="2">
        <v>3</v>
      </c>
      <c r="E313" s="27" t="s">
        <v>123</v>
      </c>
      <c r="F313" t="s">
        <v>15</v>
      </c>
      <c r="G313" s="47"/>
      <c r="H313" s="102"/>
      <c r="I313" s="63" t="s">
        <v>1005</v>
      </c>
      <c r="J313" t="str">
        <f>CONCATENATE(Tabla1[[#This Row],[OBRA]],"/",Tabla1[[#This Row],[CODIGO ENSAYO]])</f>
        <v>8-1/1-1</v>
      </c>
      <c r="K313" s="2" t="str">
        <f>UPPER(TEXT(Tabla1[[#This Row],[FECHA INF]],"MMMM"))</f>
        <v>JULIO</v>
      </c>
      <c r="L31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0322-23</v>
      </c>
    </row>
    <row r="314" spans="1:12" hidden="1" x14ac:dyDescent="0.25">
      <c r="A314" s="52">
        <v>45138</v>
      </c>
      <c r="B314" s="27" t="s">
        <v>854</v>
      </c>
      <c r="C314" s="2" t="s">
        <v>1182</v>
      </c>
      <c r="D314" s="2">
        <v>3</v>
      </c>
      <c r="E314" s="27" t="s">
        <v>123</v>
      </c>
      <c r="F314" t="s">
        <v>15</v>
      </c>
      <c r="G314" s="47"/>
      <c r="H314" s="102"/>
      <c r="I314" s="63" t="s">
        <v>1005</v>
      </c>
      <c r="J314" t="str">
        <f>CONCATENATE(Tabla1[[#This Row],[OBRA]],"/",Tabla1[[#This Row],[CODIGO ENSAYO]])</f>
        <v>8-1/1-1</v>
      </c>
      <c r="K314" s="2" t="str">
        <f>UPPER(TEXT(Tabla1[[#This Row],[FECHA INF]],"MMMM"))</f>
        <v>JULIO</v>
      </c>
      <c r="L31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0323-23</v>
      </c>
    </row>
    <row r="315" spans="1:12" hidden="1" x14ac:dyDescent="0.25">
      <c r="A315" s="52">
        <v>45138</v>
      </c>
      <c r="B315" s="27" t="s">
        <v>854</v>
      </c>
      <c r="C315" s="2" t="s">
        <v>1183</v>
      </c>
      <c r="D315" s="2">
        <v>2</v>
      </c>
      <c r="E315" s="27" t="s">
        <v>123</v>
      </c>
      <c r="F315" t="s">
        <v>15</v>
      </c>
      <c r="G315" s="47"/>
      <c r="H315" s="102"/>
      <c r="I315" s="63" t="s">
        <v>1005</v>
      </c>
      <c r="J315" t="str">
        <f>CONCATENATE(Tabla1[[#This Row],[OBRA]],"/",Tabla1[[#This Row],[CODIGO ENSAYO]])</f>
        <v>8-1/1-1</v>
      </c>
      <c r="K315" s="2" t="str">
        <f>UPPER(TEXT(Tabla1[[#This Row],[FECHA INF]],"MMMM"))</f>
        <v>JULIO</v>
      </c>
      <c r="L31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0324-23</v>
      </c>
    </row>
    <row r="316" spans="1:12" hidden="1" x14ac:dyDescent="0.25">
      <c r="A316" s="52">
        <v>45138</v>
      </c>
      <c r="B316" s="27" t="s">
        <v>854</v>
      </c>
      <c r="C316" s="2" t="s">
        <v>1184</v>
      </c>
      <c r="D316" s="2">
        <v>9</v>
      </c>
      <c r="E316" s="27" t="s">
        <v>123</v>
      </c>
      <c r="F316" t="s">
        <v>15</v>
      </c>
      <c r="G316" s="47"/>
      <c r="H316" s="102"/>
      <c r="I316" s="63" t="s">
        <v>1005</v>
      </c>
      <c r="J316" t="str">
        <f>CONCATENATE(Tabla1[[#This Row],[OBRA]],"/",Tabla1[[#This Row],[CODIGO ENSAYO]])</f>
        <v>8-1/1-1</v>
      </c>
      <c r="K316" s="2" t="str">
        <f>UPPER(TEXT(Tabla1[[#This Row],[FECHA INF]],"MMMM"))</f>
        <v>JULIO</v>
      </c>
      <c r="L31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0325-23</v>
      </c>
    </row>
    <row r="317" spans="1:12" hidden="1" x14ac:dyDescent="0.25">
      <c r="A317" s="52">
        <v>45138</v>
      </c>
      <c r="B317" s="27" t="s">
        <v>148</v>
      </c>
      <c r="C317" s="2" t="s">
        <v>1175</v>
      </c>
      <c r="D317" s="2">
        <v>2</v>
      </c>
      <c r="E317" s="27" t="s">
        <v>123</v>
      </c>
      <c r="F317" t="s">
        <v>15</v>
      </c>
      <c r="G317" s="47"/>
      <c r="H317" s="102"/>
      <c r="I317" s="63"/>
      <c r="J317" t="str">
        <f>CONCATENATE(Tabla1[[#This Row],[OBRA]],"/",Tabla1[[#This Row],[CODIGO ENSAYO]])</f>
        <v>3-1/1-1</v>
      </c>
      <c r="K317" s="2" t="str">
        <f>UPPER(TEXT(Tabla1[[#This Row],[FECHA INF]],"MMMM"))</f>
        <v>JULIO</v>
      </c>
      <c r="L31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0326-23</v>
      </c>
    </row>
    <row r="318" spans="1:12" hidden="1" x14ac:dyDescent="0.25">
      <c r="A318" s="52">
        <v>45138</v>
      </c>
      <c r="B318" s="27" t="s">
        <v>854</v>
      </c>
      <c r="C318" s="2" t="s">
        <v>1185</v>
      </c>
      <c r="D318" s="2">
        <v>4</v>
      </c>
      <c r="E318" s="27" t="s">
        <v>123</v>
      </c>
      <c r="F318" t="s">
        <v>15</v>
      </c>
      <c r="G318" s="47"/>
      <c r="H318" s="102"/>
      <c r="I318" s="63" t="s">
        <v>1005</v>
      </c>
      <c r="J318" t="str">
        <f>CONCATENATE(Tabla1[[#This Row],[OBRA]],"/",Tabla1[[#This Row],[CODIGO ENSAYO]])</f>
        <v>8-1/1-1</v>
      </c>
      <c r="K318" s="2" t="str">
        <f>UPPER(TEXT(Tabla1[[#This Row],[FECHA INF]],"MMMM"))</f>
        <v>JULIO</v>
      </c>
      <c r="L31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0327-23</v>
      </c>
    </row>
    <row r="319" spans="1:12" hidden="1" x14ac:dyDescent="0.25">
      <c r="A319" s="52">
        <v>45138</v>
      </c>
      <c r="B319" s="27" t="s">
        <v>854</v>
      </c>
      <c r="C319" s="2" t="s">
        <v>1186</v>
      </c>
      <c r="D319" s="2">
        <v>5</v>
      </c>
      <c r="E319" s="27" t="s">
        <v>123</v>
      </c>
      <c r="F319" t="s">
        <v>15</v>
      </c>
      <c r="G319" s="47"/>
      <c r="H319" s="102"/>
      <c r="I319" s="63" t="s">
        <v>1005</v>
      </c>
      <c r="J319" t="str">
        <f>CONCATENATE(Tabla1[[#This Row],[OBRA]],"/",Tabla1[[#This Row],[CODIGO ENSAYO]])</f>
        <v>8-1/1-1</v>
      </c>
      <c r="K319" s="2" t="str">
        <f>UPPER(TEXT(Tabla1[[#This Row],[FECHA INF]],"MMMM"))</f>
        <v>JULIO</v>
      </c>
      <c r="L31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0328-23</v>
      </c>
    </row>
    <row r="320" spans="1:12" hidden="1" x14ac:dyDescent="0.25">
      <c r="A320" s="52">
        <v>45138</v>
      </c>
      <c r="B320" s="27" t="s">
        <v>854</v>
      </c>
      <c r="C320" s="2" t="s">
        <v>1187</v>
      </c>
      <c r="D320" s="2">
        <v>6</v>
      </c>
      <c r="E320" s="27" t="s">
        <v>123</v>
      </c>
      <c r="F320" t="s">
        <v>15</v>
      </c>
      <c r="G320" s="47"/>
      <c r="H320" s="102"/>
      <c r="I320" s="63" t="s">
        <v>1005</v>
      </c>
      <c r="J320" t="str">
        <f>CONCATENATE(Tabla1[[#This Row],[OBRA]],"/",Tabla1[[#This Row],[CODIGO ENSAYO]])</f>
        <v>8-1/1-1</v>
      </c>
      <c r="K320" s="2" t="str">
        <f>UPPER(TEXT(Tabla1[[#This Row],[FECHA INF]],"MMMM"))</f>
        <v>JULIO</v>
      </c>
      <c r="L32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0329-23</v>
      </c>
    </row>
    <row r="321" spans="1:12" hidden="1" x14ac:dyDescent="0.25">
      <c r="A321" s="52">
        <v>45138</v>
      </c>
      <c r="B321" s="27" t="s">
        <v>148</v>
      </c>
      <c r="C321" s="2" t="s">
        <v>1176</v>
      </c>
      <c r="D321" s="2">
        <v>6</v>
      </c>
      <c r="E321" s="27" t="s">
        <v>123</v>
      </c>
      <c r="F321" t="s">
        <v>15</v>
      </c>
      <c r="G321" s="47"/>
      <c r="H321" s="102"/>
      <c r="I321" s="63"/>
      <c r="J321" t="str">
        <f>CONCATENATE(Tabla1[[#This Row],[OBRA]],"/",Tabla1[[#This Row],[CODIGO ENSAYO]])</f>
        <v>3-1/1-1</v>
      </c>
      <c r="K321" s="2" t="str">
        <f>UPPER(TEXT(Tabla1[[#This Row],[FECHA INF]],"MMMM"))</f>
        <v>JULIO</v>
      </c>
      <c r="L32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0330-23</v>
      </c>
    </row>
    <row r="322" spans="1:12" hidden="1" x14ac:dyDescent="0.25">
      <c r="A322" s="52">
        <v>45138</v>
      </c>
      <c r="B322" s="27" t="s">
        <v>522</v>
      </c>
      <c r="C322" s="2" t="s">
        <v>1243</v>
      </c>
      <c r="D322" s="2">
        <v>6</v>
      </c>
      <c r="E322" s="27" t="s">
        <v>171</v>
      </c>
      <c r="F322" t="s">
        <v>779</v>
      </c>
      <c r="G322" s="47"/>
      <c r="H322" s="102"/>
      <c r="I322" s="63"/>
      <c r="J322" t="str">
        <f>CONCATENATE(Tabla1[[#This Row],[OBRA]],"/",Tabla1[[#This Row],[CODIGO ENSAYO]])</f>
        <v>17-1/5-2</v>
      </c>
      <c r="K322" s="2" t="str">
        <f>UPPER(TEXT(Tabla1[[#This Row],[FECHA INF]],"MMMM"))</f>
        <v>JULIO</v>
      </c>
      <c r="L32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0331-23</v>
      </c>
    </row>
    <row r="323" spans="1:12" hidden="1" x14ac:dyDescent="0.25">
      <c r="A323" s="52">
        <v>45138</v>
      </c>
      <c r="B323" s="27" t="s">
        <v>522</v>
      </c>
      <c r="C323" s="2" t="s">
        <v>1244</v>
      </c>
      <c r="D323" s="2">
        <v>6</v>
      </c>
      <c r="E323" s="27" t="s">
        <v>171</v>
      </c>
      <c r="F323" t="s">
        <v>779</v>
      </c>
      <c r="G323" s="47"/>
      <c r="H323" s="102"/>
      <c r="I323" s="63"/>
      <c r="J323" t="str">
        <f>CONCATENATE(Tabla1[[#This Row],[OBRA]],"/",Tabla1[[#This Row],[CODIGO ENSAYO]])</f>
        <v>17-1/5-2</v>
      </c>
      <c r="K323" s="2" t="str">
        <f>UPPER(TEXT(Tabla1[[#This Row],[FECHA INF]],"MMMM"))</f>
        <v>JULIO</v>
      </c>
      <c r="L32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0332-23</v>
      </c>
    </row>
    <row r="324" spans="1:12" hidden="1" x14ac:dyDescent="0.25">
      <c r="A324" s="52">
        <v>45138</v>
      </c>
      <c r="B324" s="27" t="s">
        <v>522</v>
      </c>
      <c r="C324" s="2" t="s">
        <v>1245</v>
      </c>
      <c r="D324" s="2">
        <v>6</v>
      </c>
      <c r="E324" s="27" t="s">
        <v>171</v>
      </c>
      <c r="F324" t="s">
        <v>779</v>
      </c>
      <c r="G324" s="47"/>
      <c r="H324" s="102"/>
      <c r="I324" s="63"/>
      <c r="J324" t="str">
        <f>CONCATENATE(Tabla1[[#This Row],[OBRA]],"/",Tabla1[[#This Row],[CODIGO ENSAYO]])</f>
        <v>17-1/5-2</v>
      </c>
      <c r="K324" s="2" t="str">
        <f>UPPER(TEXT(Tabla1[[#This Row],[FECHA INF]],"MMMM"))</f>
        <v>JULIO</v>
      </c>
      <c r="L32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0333-23</v>
      </c>
    </row>
    <row r="325" spans="1:12" hidden="1" x14ac:dyDescent="0.25">
      <c r="A325" s="52">
        <v>45138</v>
      </c>
      <c r="B325" s="27" t="s">
        <v>522</v>
      </c>
      <c r="C325" s="2" t="s">
        <v>1246</v>
      </c>
      <c r="D325" s="2">
        <v>6</v>
      </c>
      <c r="E325" s="27" t="s">
        <v>171</v>
      </c>
      <c r="F325" t="s">
        <v>779</v>
      </c>
      <c r="G325" s="47"/>
      <c r="H325" s="102"/>
      <c r="I325" s="63"/>
      <c r="J325" t="str">
        <f>CONCATENATE(Tabla1[[#This Row],[OBRA]],"/",Tabla1[[#This Row],[CODIGO ENSAYO]])</f>
        <v>17-1/5-2</v>
      </c>
      <c r="K325" s="2" t="str">
        <f>UPPER(TEXT(Tabla1[[#This Row],[FECHA INF]],"MMMM"))</f>
        <v>JULIO</v>
      </c>
      <c r="L32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0334-23</v>
      </c>
    </row>
    <row r="326" spans="1:12" hidden="1" x14ac:dyDescent="0.25">
      <c r="A326" s="52">
        <v>45138</v>
      </c>
      <c r="B326" s="27" t="s">
        <v>522</v>
      </c>
      <c r="C326" s="2" t="s">
        <v>1247</v>
      </c>
      <c r="D326" s="2">
        <v>6</v>
      </c>
      <c r="E326" s="27" t="s">
        <v>171</v>
      </c>
      <c r="F326" t="s">
        <v>779</v>
      </c>
      <c r="G326" s="47"/>
      <c r="H326" s="102"/>
      <c r="I326" s="63"/>
      <c r="J326" t="str">
        <f>CONCATENATE(Tabla1[[#This Row],[OBRA]],"/",Tabla1[[#This Row],[CODIGO ENSAYO]])</f>
        <v>17-1/5-2</v>
      </c>
      <c r="K326" s="2" t="str">
        <f>UPPER(TEXT(Tabla1[[#This Row],[FECHA INF]],"MMMM"))</f>
        <v>JULIO</v>
      </c>
      <c r="L32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0335-23</v>
      </c>
    </row>
    <row r="327" spans="1:12" hidden="1" x14ac:dyDescent="0.25">
      <c r="A327" s="52">
        <v>45138</v>
      </c>
      <c r="B327" s="27" t="s">
        <v>522</v>
      </c>
      <c r="C327" s="2" t="s">
        <v>1248</v>
      </c>
      <c r="D327" s="2">
        <v>6</v>
      </c>
      <c r="E327" s="27" t="s">
        <v>171</v>
      </c>
      <c r="F327" t="s">
        <v>779</v>
      </c>
      <c r="G327" s="47"/>
      <c r="H327" s="102"/>
      <c r="I327" s="63"/>
      <c r="J327" t="str">
        <f>CONCATENATE(Tabla1[[#This Row],[OBRA]],"/",Tabla1[[#This Row],[CODIGO ENSAYO]])</f>
        <v>17-1/5-2</v>
      </c>
      <c r="K327" s="2" t="str">
        <f>UPPER(TEXT(Tabla1[[#This Row],[FECHA INF]],"MMMM"))</f>
        <v>JULIO</v>
      </c>
      <c r="L32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0336-23</v>
      </c>
    </row>
    <row r="328" spans="1:12" hidden="1" x14ac:dyDescent="0.25">
      <c r="A328" s="52">
        <v>45138</v>
      </c>
      <c r="B328" s="27" t="s">
        <v>522</v>
      </c>
      <c r="C328" s="2" t="s">
        <v>1249</v>
      </c>
      <c r="D328" s="2">
        <v>6</v>
      </c>
      <c r="E328" s="27" t="s">
        <v>171</v>
      </c>
      <c r="F328" t="s">
        <v>779</v>
      </c>
      <c r="G328" s="47"/>
      <c r="H328" s="102"/>
      <c r="I328" s="63"/>
      <c r="J328" t="str">
        <f>CONCATENATE(Tabla1[[#This Row],[OBRA]],"/",Tabla1[[#This Row],[CODIGO ENSAYO]])</f>
        <v>17-1/5-2</v>
      </c>
      <c r="K328" s="2" t="str">
        <f>UPPER(TEXT(Tabla1[[#This Row],[FECHA INF]],"MMMM"))</f>
        <v>JULIO</v>
      </c>
      <c r="L32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0337-23</v>
      </c>
    </row>
    <row r="329" spans="1:12" hidden="1" x14ac:dyDescent="0.25">
      <c r="A329" s="52">
        <v>45138</v>
      </c>
      <c r="B329" s="27" t="s">
        <v>522</v>
      </c>
      <c r="C329" s="2" t="s">
        <v>1250</v>
      </c>
      <c r="D329" s="2">
        <v>6</v>
      </c>
      <c r="E329" s="27" t="s">
        <v>171</v>
      </c>
      <c r="F329" t="s">
        <v>779</v>
      </c>
      <c r="G329" s="47"/>
      <c r="H329" s="102"/>
      <c r="I329" s="63"/>
      <c r="J329" t="str">
        <f>CONCATENATE(Tabla1[[#This Row],[OBRA]],"/",Tabla1[[#This Row],[CODIGO ENSAYO]])</f>
        <v>17-1/5-2</v>
      </c>
      <c r="K329" s="2" t="str">
        <f>UPPER(TEXT(Tabla1[[#This Row],[FECHA INF]],"MMMM"))</f>
        <v>JULIO</v>
      </c>
      <c r="L32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0338-23</v>
      </c>
    </row>
    <row r="330" spans="1:12" hidden="1" x14ac:dyDescent="0.25">
      <c r="A330" s="52">
        <v>45138</v>
      </c>
      <c r="B330" s="27" t="s">
        <v>522</v>
      </c>
      <c r="C330" s="2" t="s">
        <v>1251</v>
      </c>
      <c r="D330" s="2">
        <v>6</v>
      </c>
      <c r="E330" s="27" t="s">
        <v>171</v>
      </c>
      <c r="F330" t="s">
        <v>779</v>
      </c>
      <c r="G330" s="47"/>
      <c r="H330" s="102"/>
      <c r="I330" s="63"/>
      <c r="J330" t="str">
        <f>CONCATENATE(Tabla1[[#This Row],[OBRA]],"/",Tabla1[[#This Row],[CODIGO ENSAYO]])</f>
        <v>17-1/5-2</v>
      </c>
      <c r="K330" s="2" t="str">
        <f>UPPER(TEXT(Tabla1[[#This Row],[FECHA INF]],"MMMM"))</f>
        <v>JULIO</v>
      </c>
      <c r="L33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0339-23</v>
      </c>
    </row>
    <row r="331" spans="1:12" hidden="1" x14ac:dyDescent="0.25">
      <c r="A331" s="52">
        <v>45138</v>
      </c>
      <c r="B331" s="27" t="s">
        <v>12</v>
      </c>
      <c r="C331" s="2" t="s">
        <v>1201</v>
      </c>
      <c r="D331" s="2">
        <v>1</v>
      </c>
      <c r="E331" s="27" t="s">
        <v>138</v>
      </c>
      <c r="F331" t="s">
        <v>23</v>
      </c>
      <c r="G331" s="47"/>
      <c r="H331" s="102"/>
      <c r="I331" s="63"/>
      <c r="J331" t="str">
        <f>CONCATENATE(Tabla1[[#This Row],[OBRA]],"/",Tabla1[[#This Row],[CODIGO ENSAYO]])</f>
        <v>14-1/2-2</v>
      </c>
      <c r="K331" s="2" t="str">
        <f>UPPER(TEXT(Tabla1[[#This Row],[FECHA INF]],"MMMM"))</f>
        <v>JULIO</v>
      </c>
      <c r="L33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0340-23</v>
      </c>
    </row>
    <row r="332" spans="1:12" hidden="1" x14ac:dyDescent="0.25">
      <c r="A332" s="52">
        <v>45138</v>
      </c>
      <c r="B332" s="27" t="s">
        <v>12</v>
      </c>
      <c r="C332" s="2" t="s">
        <v>1201</v>
      </c>
      <c r="D332" s="2">
        <v>1</v>
      </c>
      <c r="E332" s="27" t="s">
        <v>139</v>
      </c>
      <c r="F332" t="s">
        <v>468</v>
      </c>
      <c r="G332" s="47"/>
      <c r="H332" s="102"/>
      <c r="I332" s="63"/>
      <c r="J332" t="str">
        <f>CONCATENATE(Tabla1[[#This Row],[OBRA]],"/",Tabla1[[#This Row],[CODIGO ENSAYO]])</f>
        <v>14-1/2-3</v>
      </c>
      <c r="K332" s="2" t="str">
        <f>UPPER(TEXT(Tabla1[[#This Row],[FECHA INF]],"MMMM"))</f>
        <v>JULIO</v>
      </c>
      <c r="L33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0340-23</v>
      </c>
    </row>
    <row r="333" spans="1:12" hidden="1" x14ac:dyDescent="0.25">
      <c r="A333" s="52">
        <v>45138</v>
      </c>
      <c r="B333" s="27" t="s">
        <v>12</v>
      </c>
      <c r="C333" s="2" t="s">
        <v>1202</v>
      </c>
      <c r="D333" s="2">
        <v>1</v>
      </c>
      <c r="E333" s="27" t="s">
        <v>163</v>
      </c>
      <c r="F333" t="s">
        <v>2</v>
      </c>
      <c r="G333" s="47"/>
      <c r="H333" s="102"/>
      <c r="I333" s="63"/>
      <c r="J333" t="str">
        <f>CONCATENATE(Tabla1[[#This Row],[OBRA]],"/",Tabla1[[#This Row],[CODIGO ENSAYO]])</f>
        <v>14-1/4-9</v>
      </c>
      <c r="K333" s="2" t="str">
        <f>UPPER(TEXT(Tabla1[[#This Row],[FECHA INF]],"MMMM"))</f>
        <v>JULIO</v>
      </c>
      <c r="L33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0341-23</v>
      </c>
    </row>
    <row r="334" spans="1:12" hidden="1" x14ac:dyDescent="0.25">
      <c r="A334" s="52">
        <v>45138</v>
      </c>
      <c r="B334" s="27" t="s">
        <v>12</v>
      </c>
      <c r="C334" s="2" t="s">
        <v>1203</v>
      </c>
      <c r="D334" s="2">
        <v>1</v>
      </c>
      <c r="E334" s="27" t="s">
        <v>169</v>
      </c>
      <c r="F334" t="s">
        <v>47</v>
      </c>
      <c r="G334" s="47"/>
      <c r="H334" s="102"/>
      <c r="I334" s="63"/>
      <c r="J334" t="str">
        <f>CONCATENATE(Tabla1[[#This Row],[OBRA]],"/",Tabla1[[#This Row],[CODIGO ENSAYO]])</f>
        <v>14-1/4-15</v>
      </c>
      <c r="K334" s="2" t="str">
        <f>UPPER(TEXT(Tabla1[[#This Row],[FECHA INF]],"MMMM"))</f>
        <v>JULIO</v>
      </c>
      <c r="L33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0342-23</v>
      </c>
    </row>
    <row r="335" spans="1:12" hidden="1" x14ac:dyDescent="0.25">
      <c r="A335" s="52">
        <v>45138</v>
      </c>
      <c r="B335" s="27" t="s">
        <v>12</v>
      </c>
      <c r="C335" s="2" t="s">
        <v>1204</v>
      </c>
      <c r="D335" s="2">
        <v>1</v>
      </c>
      <c r="E335" s="27" t="s">
        <v>159</v>
      </c>
      <c r="F335" t="s">
        <v>39</v>
      </c>
      <c r="G335" s="47"/>
      <c r="H335" s="102"/>
      <c r="I335" s="63"/>
      <c r="J335" t="str">
        <f>CONCATENATE(Tabla1[[#This Row],[OBRA]],"/",Tabla1[[#This Row],[CODIGO ENSAYO]])</f>
        <v>14-1/4-4</v>
      </c>
      <c r="K335" s="2" t="str">
        <f>UPPER(TEXT(Tabla1[[#This Row],[FECHA INF]],"MMMM"))</f>
        <v>JULIO</v>
      </c>
      <c r="L33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0343-23</v>
      </c>
    </row>
    <row r="336" spans="1:12" hidden="1" x14ac:dyDescent="0.25">
      <c r="A336" s="52">
        <v>45138</v>
      </c>
      <c r="B336" s="27" t="s">
        <v>12</v>
      </c>
      <c r="C336" s="2" t="s">
        <v>1205</v>
      </c>
      <c r="D336" s="2">
        <v>1</v>
      </c>
      <c r="E336" s="27" t="s">
        <v>157</v>
      </c>
      <c r="F336" t="s">
        <v>475</v>
      </c>
      <c r="G336" s="47"/>
      <c r="H336" s="102"/>
      <c r="I336" s="63"/>
      <c r="J336" t="str">
        <f>CONCATENATE(Tabla1[[#This Row],[OBRA]],"/",Tabla1[[#This Row],[CODIGO ENSAYO]])</f>
        <v>14-1/4-2</v>
      </c>
      <c r="K336" s="2" t="str">
        <f>UPPER(TEXT(Tabla1[[#This Row],[FECHA INF]],"MMMM"))</f>
        <v>JULIO</v>
      </c>
      <c r="L33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0344-23</v>
      </c>
    </row>
    <row r="337" spans="1:12" hidden="1" x14ac:dyDescent="0.25">
      <c r="A337" s="52">
        <v>45138</v>
      </c>
      <c r="B337" s="27" t="s">
        <v>12</v>
      </c>
      <c r="C337" s="2" t="s">
        <v>1206</v>
      </c>
      <c r="D337" s="2">
        <v>1</v>
      </c>
      <c r="E337" s="27" t="s">
        <v>162</v>
      </c>
      <c r="F337" t="s">
        <v>41</v>
      </c>
      <c r="G337" s="47"/>
      <c r="H337" s="102"/>
      <c r="I337" s="63"/>
      <c r="J337" t="str">
        <f>CONCATENATE(Tabla1[[#This Row],[OBRA]],"/",Tabla1[[#This Row],[CODIGO ENSAYO]])</f>
        <v>14-1/4-8</v>
      </c>
      <c r="K337" s="2" t="str">
        <f>UPPER(TEXT(Tabla1[[#This Row],[FECHA INF]],"MMMM"))</f>
        <v>JULIO</v>
      </c>
      <c r="L33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0345-23</v>
      </c>
    </row>
    <row r="338" spans="1:12" hidden="1" x14ac:dyDescent="0.25">
      <c r="A338" s="52">
        <v>45138</v>
      </c>
      <c r="B338" s="27" t="s">
        <v>12</v>
      </c>
      <c r="C338" s="2" t="s">
        <v>1207</v>
      </c>
      <c r="D338" s="2">
        <v>1</v>
      </c>
      <c r="E338" s="27" t="s">
        <v>162</v>
      </c>
      <c r="F338" t="s">
        <v>41</v>
      </c>
      <c r="G338" s="47"/>
      <c r="H338" s="102"/>
      <c r="I338" s="63"/>
      <c r="J338" t="str">
        <f>CONCATENATE(Tabla1[[#This Row],[OBRA]],"/",Tabla1[[#This Row],[CODIGO ENSAYO]])</f>
        <v>14-1/4-8</v>
      </c>
      <c r="K338" s="2" t="str">
        <f>UPPER(TEXT(Tabla1[[#This Row],[FECHA INF]],"MMMM"))</f>
        <v>JULIO</v>
      </c>
      <c r="L33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0346-23</v>
      </c>
    </row>
    <row r="339" spans="1:12" hidden="1" x14ac:dyDescent="0.25">
      <c r="A339" s="52">
        <v>45138</v>
      </c>
      <c r="B339" s="27" t="s">
        <v>12</v>
      </c>
      <c r="C339" s="2" t="s">
        <v>1208</v>
      </c>
      <c r="D339" s="2">
        <v>1</v>
      </c>
      <c r="E339" s="27" t="s">
        <v>138</v>
      </c>
      <c r="F339" t="s">
        <v>23</v>
      </c>
      <c r="G339" s="47"/>
      <c r="H339" s="102"/>
      <c r="I339" s="63"/>
      <c r="J339" t="str">
        <f>CONCATENATE(Tabla1[[#This Row],[OBRA]],"/",Tabla1[[#This Row],[CODIGO ENSAYO]])</f>
        <v>14-1/2-2</v>
      </c>
      <c r="K339" s="2" t="str">
        <f>UPPER(TEXT(Tabla1[[#This Row],[FECHA INF]],"MMMM"))</f>
        <v>JULIO</v>
      </c>
      <c r="L33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0347-23</v>
      </c>
    </row>
    <row r="340" spans="1:12" hidden="1" x14ac:dyDescent="0.25">
      <c r="A340" s="52">
        <v>45138</v>
      </c>
      <c r="B340" s="27" t="s">
        <v>12</v>
      </c>
      <c r="C340" s="2" t="s">
        <v>1208</v>
      </c>
      <c r="D340" s="2">
        <v>1</v>
      </c>
      <c r="E340" s="27" t="s">
        <v>139</v>
      </c>
      <c r="F340" t="s">
        <v>468</v>
      </c>
      <c r="G340" s="47"/>
      <c r="H340" s="102"/>
      <c r="I340" s="63"/>
      <c r="J340" t="str">
        <f>CONCATENATE(Tabla1[[#This Row],[OBRA]],"/",Tabla1[[#This Row],[CODIGO ENSAYO]])</f>
        <v>14-1/2-3</v>
      </c>
      <c r="K340" s="2" t="str">
        <f>UPPER(TEXT(Tabla1[[#This Row],[FECHA INF]],"MMMM"))</f>
        <v>JULIO</v>
      </c>
      <c r="L34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0347-23</v>
      </c>
    </row>
    <row r="341" spans="1:12" hidden="1" x14ac:dyDescent="0.25">
      <c r="A341" s="52">
        <v>45138</v>
      </c>
      <c r="B341" s="27" t="s">
        <v>12</v>
      </c>
      <c r="C341" s="2" t="s">
        <v>1209</v>
      </c>
      <c r="D341" s="2">
        <v>1</v>
      </c>
      <c r="E341" s="27" t="s">
        <v>163</v>
      </c>
      <c r="F341" t="s">
        <v>2</v>
      </c>
      <c r="G341" s="47"/>
      <c r="H341" s="102"/>
      <c r="I341" s="63"/>
      <c r="J341" t="str">
        <f>CONCATENATE(Tabla1[[#This Row],[OBRA]],"/",Tabla1[[#This Row],[CODIGO ENSAYO]])</f>
        <v>14-1/4-9</v>
      </c>
      <c r="K341" s="2" t="str">
        <f>UPPER(TEXT(Tabla1[[#This Row],[FECHA INF]],"MMMM"))</f>
        <v>JULIO</v>
      </c>
      <c r="L34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0348-23</v>
      </c>
    </row>
    <row r="342" spans="1:12" hidden="1" x14ac:dyDescent="0.25">
      <c r="A342" s="52">
        <v>45138</v>
      </c>
      <c r="B342" s="27" t="s">
        <v>12</v>
      </c>
      <c r="C342" s="2" t="s">
        <v>1210</v>
      </c>
      <c r="D342" s="2">
        <v>1</v>
      </c>
      <c r="E342" s="27" t="s">
        <v>169</v>
      </c>
      <c r="F342" t="s">
        <v>47</v>
      </c>
      <c r="G342" s="47"/>
      <c r="H342" s="102"/>
      <c r="I342" s="63"/>
      <c r="J342" t="str">
        <f>CONCATENATE(Tabla1[[#This Row],[OBRA]],"/",Tabla1[[#This Row],[CODIGO ENSAYO]])</f>
        <v>14-1/4-15</v>
      </c>
      <c r="K342" s="2" t="str">
        <f>UPPER(TEXT(Tabla1[[#This Row],[FECHA INF]],"MMMM"))</f>
        <v>JULIO</v>
      </c>
      <c r="L34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0349-23</v>
      </c>
    </row>
    <row r="343" spans="1:12" hidden="1" x14ac:dyDescent="0.25">
      <c r="A343" s="52">
        <v>45138</v>
      </c>
      <c r="B343" s="27" t="s">
        <v>12</v>
      </c>
      <c r="C343" s="2" t="s">
        <v>1211</v>
      </c>
      <c r="D343" s="2">
        <v>1</v>
      </c>
      <c r="E343" s="27" t="s">
        <v>159</v>
      </c>
      <c r="F343" t="s">
        <v>39</v>
      </c>
      <c r="G343" s="47"/>
      <c r="H343" s="102"/>
      <c r="I343" s="63"/>
      <c r="J343" t="str">
        <f>CONCATENATE(Tabla1[[#This Row],[OBRA]],"/",Tabla1[[#This Row],[CODIGO ENSAYO]])</f>
        <v>14-1/4-4</v>
      </c>
      <c r="K343" s="2" t="str">
        <f>UPPER(TEXT(Tabla1[[#This Row],[FECHA INF]],"MMMM"))</f>
        <v>JULIO</v>
      </c>
      <c r="L34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0350-23</v>
      </c>
    </row>
    <row r="344" spans="1:12" hidden="1" x14ac:dyDescent="0.25">
      <c r="A344" s="52">
        <v>45138</v>
      </c>
      <c r="B344" s="27" t="s">
        <v>12</v>
      </c>
      <c r="C344" s="2" t="s">
        <v>1212</v>
      </c>
      <c r="D344" s="2">
        <v>1</v>
      </c>
      <c r="E344" s="27" t="s">
        <v>157</v>
      </c>
      <c r="F344" t="s">
        <v>37</v>
      </c>
      <c r="G344" s="47"/>
      <c r="H344" s="102"/>
      <c r="I344" s="63"/>
      <c r="J344" t="str">
        <f>CONCATENATE(Tabla1[[#This Row],[OBRA]],"/",Tabla1[[#This Row],[CODIGO ENSAYO]])</f>
        <v>14-1/4-2</v>
      </c>
      <c r="K344" s="2" t="str">
        <f>UPPER(TEXT(Tabla1[[#This Row],[FECHA INF]],"MMMM"))</f>
        <v>JULIO</v>
      </c>
      <c r="L34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0351-23</v>
      </c>
    </row>
    <row r="345" spans="1:12" hidden="1" x14ac:dyDescent="0.25">
      <c r="A345" s="52">
        <v>45138</v>
      </c>
      <c r="B345" s="27" t="s">
        <v>12</v>
      </c>
      <c r="C345" s="2" t="s">
        <v>1213</v>
      </c>
      <c r="D345" s="2">
        <v>1</v>
      </c>
      <c r="E345" s="27" t="s">
        <v>162</v>
      </c>
      <c r="F345" t="s">
        <v>41</v>
      </c>
      <c r="G345" s="47"/>
      <c r="H345" s="102"/>
      <c r="I345" s="63"/>
      <c r="J345" t="str">
        <f>CONCATENATE(Tabla1[[#This Row],[OBRA]],"/",Tabla1[[#This Row],[CODIGO ENSAYO]])</f>
        <v>14-1/4-8</v>
      </c>
      <c r="K345" s="2" t="str">
        <f>UPPER(TEXT(Tabla1[[#This Row],[FECHA INF]],"MMMM"))</f>
        <v>JULIO</v>
      </c>
      <c r="L34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0352-23</v>
      </c>
    </row>
    <row r="346" spans="1:12" hidden="1" x14ac:dyDescent="0.25">
      <c r="A346" s="52">
        <v>45138</v>
      </c>
      <c r="B346" s="27" t="s">
        <v>12</v>
      </c>
      <c r="C346" s="2" t="s">
        <v>1214</v>
      </c>
      <c r="D346" s="2">
        <v>1</v>
      </c>
      <c r="E346" s="27" t="s">
        <v>162</v>
      </c>
      <c r="F346" t="s">
        <v>41</v>
      </c>
      <c r="G346" s="47"/>
      <c r="H346" s="102"/>
      <c r="I346" s="63"/>
      <c r="J346" t="str">
        <f>CONCATENATE(Tabla1[[#This Row],[OBRA]],"/",Tabla1[[#This Row],[CODIGO ENSAYO]])</f>
        <v>14-1/4-8</v>
      </c>
      <c r="K346" s="2" t="str">
        <f>UPPER(TEXT(Tabla1[[#This Row],[FECHA INF]],"MMMM"))</f>
        <v>JULIO</v>
      </c>
      <c r="L34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0353-23</v>
      </c>
    </row>
    <row r="347" spans="1:12" hidden="1" x14ac:dyDescent="0.25">
      <c r="A347" s="52">
        <v>45138</v>
      </c>
      <c r="B347" s="27" t="s">
        <v>12</v>
      </c>
      <c r="C347" s="2" t="s">
        <v>1215</v>
      </c>
      <c r="D347" s="2">
        <v>1</v>
      </c>
      <c r="E347" s="27" t="s">
        <v>139</v>
      </c>
      <c r="F347" t="s">
        <v>468</v>
      </c>
      <c r="G347" s="47"/>
      <c r="H347" s="102"/>
      <c r="I347" s="63"/>
      <c r="J347" t="str">
        <f>CONCATENATE(Tabla1[[#This Row],[OBRA]],"/",Tabla1[[#This Row],[CODIGO ENSAYO]])</f>
        <v>14-1/2-3</v>
      </c>
      <c r="K347" s="2" t="str">
        <f>UPPER(TEXT(Tabla1[[#This Row],[FECHA INF]],"MMMM"))</f>
        <v>JULIO</v>
      </c>
      <c r="L34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0354-23</v>
      </c>
    </row>
    <row r="348" spans="1:12" hidden="1" x14ac:dyDescent="0.25">
      <c r="A348" s="52">
        <v>45138</v>
      </c>
      <c r="B348" s="27" t="s">
        <v>12</v>
      </c>
      <c r="C348" s="2" t="s">
        <v>1216</v>
      </c>
      <c r="D348" s="2">
        <v>1</v>
      </c>
      <c r="E348" s="27" t="s">
        <v>166</v>
      </c>
      <c r="F348" t="s">
        <v>37</v>
      </c>
      <c r="G348" s="47"/>
      <c r="H348" s="102"/>
      <c r="I348" s="63"/>
      <c r="J348" t="str">
        <f>CONCATENATE(Tabla1[[#This Row],[OBRA]],"/",Tabla1[[#This Row],[CODIGO ENSAYO]])</f>
        <v>14-1/4-12</v>
      </c>
      <c r="K348" s="2" t="str">
        <f>UPPER(TEXT(Tabla1[[#This Row],[FECHA INF]],"MMMM"))</f>
        <v>JULIO</v>
      </c>
      <c r="L34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0355-23</v>
      </c>
    </row>
    <row r="349" spans="1:12" hidden="1" x14ac:dyDescent="0.25">
      <c r="A349" s="52">
        <v>45138</v>
      </c>
      <c r="B349" s="27" t="s">
        <v>12</v>
      </c>
      <c r="C349" s="2" t="s">
        <v>1217</v>
      </c>
      <c r="D349" s="2">
        <v>1</v>
      </c>
      <c r="E349" s="27" t="s">
        <v>333</v>
      </c>
      <c r="F349" t="s">
        <v>334</v>
      </c>
      <c r="G349" s="47"/>
      <c r="H349" s="102"/>
      <c r="I349" s="63"/>
      <c r="J349" t="str">
        <f>CONCATENATE(Tabla1[[#This Row],[OBRA]],"/",Tabla1[[#This Row],[CODIGO ENSAYO]])</f>
        <v>14-1/4-16</v>
      </c>
      <c r="K349" s="2" t="str">
        <f>UPPER(TEXT(Tabla1[[#This Row],[FECHA INF]],"MMMM"))</f>
        <v>JULIO</v>
      </c>
      <c r="L34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0356-23</v>
      </c>
    </row>
    <row r="350" spans="1:12" hidden="1" x14ac:dyDescent="0.25">
      <c r="A350" s="52">
        <v>45138</v>
      </c>
      <c r="B350" s="27" t="s">
        <v>12</v>
      </c>
      <c r="C350" s="2" t="s">
        <v>1218</v>
      </c>
      <c r="D350" s="2">
        <v>1</v>
      </c>
      <c r="E350" s="27" t="s">
        <v>168</v>
      </c>
      <c r="F350" t="s">
        <v>39</v>
      </c>
      <c r="G350" s="47"/>
      <c r="H350" s="102"/>
      <c r="I350" s="63"/>
      <c r="J350" t="str">
        <f>CONCATENATE(Tabla1[[#This Row],[OBRA]],"/",Tabla1[[#This Row],[CODIGO ENSAYO]])</f>
        <v>14-1/4-14</v>
      </c>
      <c r="K350" s="2" t="str">
        <f>UPPER(TEXT(Tabla1[[#This Row],[FECHA INF]],"MMMM"))</f>
        <v>JULIO</v>
      </c>
      <c r="L35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0357-23</v>
      </c>
    </row>
    <row r="351" spans="1:12" hidden="1" x14ac:dyDescent="0.25">
      <c r="A351" s="52">
        <v>45138</v>
      </c>
      <c r="B351" s="27" t="s">
        <v>12</v>
      </c>
      <c r="C351" s="2" t="s">
        <v>1219</v>
      </c>
      <c r="D351" s="2">
        <v>1</v>
      </c>
      <c r="E351" s="27" t="s">
        <v>162</v>
      </c>
      <c r="F351" t="s">
        <v>41</v>
      </c>
      <c r="G351" s="47"/>
      <c r="H351" s="102"/>
      <c r="I351" s="63"/>
      <c r="J351" t="str">
        <f>CONCATENATE(Tabla1[[#This Row],[OBRA]],"/",Tabla1[[#This Row],[CODIGO ENSAYO]])</f>
        <v>14-1/4-8</v>
      </c>
      <c r="K351" s="2" t="str">
        <f>UPPER(TEXT(Tabla1[[#This Row],[FECHA INF]],"MMMM"))</f>
        <v>JULIO</v>
      </c>
      <c r="L35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0358-23</v>
      </c>
    </row>
    <row r="352" spans="1:12" hidden="1" x14ac:dyDescent="0.25">
      <c r="A352" s="52">
        <v>45138</v>
      </c>
      <c r="B352" s="27" t="s">
        <v>12</v>
      </c>
      <c r="C352" s="2" t="s">
        <v>1220</v>
      </c>
      <c r="D352" s="2">
        <v>1</v>
      </c>
      <c r="E352" s="27" t="s">
        <v>162</v>
      </c>
      <c r="F352" t="s">
        <v>41</v>
      </c>
      <c r="G352" s="47"/>
      <c r="H352" s="102"/>
      <c r="I352" s="63"/>
      <c r="J352" t="str">
        <f>CONCATENATE(Tabla1[[#This Row],[OBRA]],"/",Tabla1[[#This Row],[CODIGO ENSAYO]])</f>
        <v>14-1/4-8</v>
      </c>
      <c r="K352" s="2" t="str">
        <f>UPPER(TEXT(Tabla1[[#This Row],[FECHA INF]],"MMMM"))</f>
        <v>JULIO</v>
      </c>
      <c r="L35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0359-23</v>
      </c>
    </row>
    <row r="353" spans="1:12" hidden="1" x14ac:dyDescent="0.25">
      <c r="A353" s="52">
        <v>45138</v>
      </c>
      <c r="B353" s="27" t="s">
        <v>12</v>
      </c>
      <c r="C353" s="2" t="s">
        <v>1221</v>
      </c>
      <c r="D353" s="2">
        <v>1</v>
      </c>
      <c r="E353" s="27" t="s">
        <v>525</v>
      </c>
      <c r="F353" t="s">
        <v>526</v>
      </c>
      <c r="G353" s="47"/>
      <c r="H353" s="102"/>
      <c r="I353" s="63"/>
      <c r="J353" t="str">
        <f>CONCATENATE(Tabla1[[#This Row],[OBRA]],"/",Tabla1[[#This Row],[CODIGO ENSAYO]])</f>
        <v>14-1/2-19</v>
      </c>
      <c r="K353" s="2" t="str">
        <f>UPPER(TEXT(Tabla1[[#This Row],[FECHA INF]],"MMMM"))</f>
        <v>JULIO</v>
      </c>
      <c r="L35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0360-23</v>
      </c>
    </row>
    <row r="354" spans="1:12" hidden="1" x14ac:dyDescent="0.25">
      <c r="A354" s="52">
        <v>45138</v>
      </c>
      <c r="B354" s="27" t="s">
        <v>12</v>
      </c>
      <c r="C354" s="2" t="s">
        <v>1222</v>
      </c>
      <c r="D354" s="2">
        <v>1</v>
      </c>
      <c r="E354" s="27" t="s">
        <v>138</v>
      </c>
      <c r="F354" t="s">
        <v>23</v>
      </c>
      <c r="G354" s="47"/>
      <c r="H354" s="102"/>
      <c r="I354" s="63"/>
      <c r="J354" t="str">
        <f>CONCATENATE(Tabla1[[#This Row],[OBRA]],"/",Tabla1[[#This Row],[CODIGO ENSAYO]])</f>
        <v>14-1/2-2</v>
      </c>
      <c r="K354" s="2" t="str">
        <f>UPPER(TEXT(Tabla1[[#This Row],[FECHA INF]],"MMMM"))</f>
        <v>JULIO</v>
      </c>
      <c r="L35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0361-23</v>
      </c>
    </row>
    <row r="355" spans="1:12" hidden="1" x14ac:dyDescent="0.25">
      <c r="A355" s="52">
        <v>45138</v>
      </c>
      <c r="B355" s="27" t="s">
        <v>12</v>
      </c>
      <c r="C355" s="2" t="s">
        <v>1222</v>
      </c>
      <c r="D355" s="2">
        <v>1</v>
      </c>
      <c r="E355" s="27" t="s">
        <v>139</v>
      </c>
      <c r="F355" t="s">
        <v>468</v>
      </c>
      <c r="G355" s="47"/>
      <c r="H355" s="102"/>
      <c r="I355" s="63"/>
      <c r="J355" t="str">
        <f>CONCATENATE(Tabla1[[#This Row],[OBRA]],"/",Tabla1[[#This Row],[CODIGO ENSAYO]])</f>
        <v>14-1/2-3</v>
      </c>
      <c r="K355" s="2" t="str">
        <f>UPPER(TEXT(Tabla1[[#This Row],[FECHA INF]],"MMMM"))</f>
        <v>JULIO</v>
      </c>
      <c r="L35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0361-23</v>
      </c>
    </row>
    <row r="356" spans="1:12" hidden="1" x14ac:dyDescent="0.25">
      <c r="A356" s="52">
        <v>45138</v>
      </c>
      <c r="B356" s="27" t="s">
        <v>12</v>
      </c>
      <c r="C356" s="2" t="s">
        <v>1223</v>
      </c>
      <c r="D356" s="2">
        <v>1</v>
      </c>
      <c r="E356" s="27" t="s">
        <v>163</v>
      </c>
      <c r="F356" t="s">
        <v>2</v>
      </c>
      <c r="G356" s="47"/>
      <c r="H356" s="102"/>
      <c r="I356" s="63"/>
      <c r="J356" t="str">
        <f>CONCATENATE(Tabla1[[#This Row],[OBRA]],"/",Tabla1[[#This Row],[CODIGO ENSAYO]])</f>
        <v>14-1/4-9</v>
      </c>
      <c r="K356" s="2" t="str">
        <f>UPPER(TEXT(Tabla1[[#This Row],[FECHA INF]],"MMMM"))</f>
        <v>JULIO</v>
      </c>
      <c r="L35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0362-23</v>
      </c>
    </row>
    <row r="357" spans="1:12" hidden="1" x14ac:dyDescent="0.25">
      <c r="A357" s="52">
        <v>45138</v>
      </c>
      <c r="B357" s="27" t="s">
        <v>12</v>
      </c>
      <c r="C357" s="2" t="s">
        <v>1224</v>
      </c>
      <c r="D357" s="2">
        <v>1</v>
      </c>
      <c r="E357" s="27" t="s">
        <v>169</v>
      </c>
      <c r="F357" t="s">
        <v>47</v>
      </c>
      <c r="G357" s="47"/>
      <c r="H357" s="102"/>
      <c r="I357" s="63"/>
      <c r="J357" t="str">
        <f>CONCATENATE(Tabla1[[#This Row],[OBRA]],"/",Tabla1[[#This Row],[CODIGO ENSAYO]])</f>
        <v>14-1/4-15</v>
      </c>
      <c r="K357" s="2" t="str">
        <f>UPPER(TEXT(Tabla1[[#This Row],[FECHA INF]],"MMMM"))</f>
        <v>JULIO</v>
      </c>
      <c r="L35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0363-23</v>
      </c>
    </row>
    <row r="358" spans="1:12" hidden="1" x14ac:dyDescent="0.25">
      <c r="A358" s="52">
        <v>45138</v>
      </c>
      <c r="B358" s="27" t="s">
        <v>12</v>
      </c>
      <c r="C358" s="2" t="s">
        <v>1225</v>
      </c>
      <c r="D358" s="2">
        <v>1</v>
      </c>
      <c r="E358" s="27" t="s">
        <v>159</v>
      </c>
      <c r="F358" t="s">
        <v>39</v>
      </c>
      <c r="G358" s="47"/>
      <c r="H358" s="102"/>
      <c r="I358" s="63"/>
      <c r="J358" t="str">
        <f>CONCATENATE(Tabla1[[#This Row],[OBRA]],"/",Tabla1[[#This Row],[CODIGO ENSAYO]])</f>
        <v>14-1/4-4</v>
      </c>
      <c r="K358" s="2" t="str">
        <f>UPPER(TEXT(Tabla1[[#This Row],[FECHA INF]],"MMMM"))</f>
        <v>JULIO</v>
      </c>
      <c r="L35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0364-23</v>
      </c>
    </row>
    <row r="359" spans="1:12" hidden="1" x14ac:dyDescent="0.25">
      <c r="A359" s="52">
        <v>45138</v>
      </c>
      <c r="B359" s="27" t="s">
        <v>12</v>
      </c>
      <c r="C359" s="2" t="s">
        <v>1226</v>
      </c>
      <c r="D359" s="2">
        <v>1</v>
      </c>
      <c r="E359" s="27" t="s">
        <v>157</v>
      </c>
      <c r="F359" t="s">
        <v>37</v>
      </c>
      <c r="G359" s="47"/>
      <c r="H359" s="102"/>
      <c r="I359" s="63"/>
      <c r="J359" t="str">
        <f>CONCATENATE(Tabla1[[#This Row],[OBRA]],"/",Tabla1[[#This Row],[CODIGO ENSAYO]])</f>
        <v>14-1/4-2</v>
      </c>
      <c r="K359" s="2" t="str">
        <f>UPPER(TEXT(Tabla1[[#This Row],[FECHA INF]],"MMMM"))</f>
        <v>JULIO</v>
      </c>
      <c r="L35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0365-23</v>
      </c>
    </row>
    <row r="360" spans="1:12" hidden="1" x14ac:dyDescent="0.25">
      <c r="A360" s="52">
        <v>45138</v>
      </c>
      <c r="B360" s="27" t="s">
        <v>12</v>
      </c>
      <c r="C360" s="2" t="s">
        <v>1227</v>
      </c>
      <c r="D360" s="2">
        <v>1</v>
      </c>
      <c r="E360" s="27" t="s">
        <v>162</v>
      </c>
      <c r="F360" t="s">
        <v>41</v>
      </c>
      <c r="G360" s="47"/>
      <c r="H360" s="102"/>
      <c r="I360" s="63"/>
      <c r="J360" t="str">
        <f>CONCATENATE(Tabla1[[#This Row],[OBRA]],"/",Tabla1[[#This Row],[CODIGO ENSAYO]])</f>
        <v>14-1/4-8</v>
      </c>
      <c r="K360" s="2" t="str">
        <f>UPPER(TEXT(Tabla1[[#This Row],[FECHA INF]],"MMMM"))</f>
        <v>JULIO</v>
      </c>
      <c r="L36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0366-23</v>
      </c>
    </row>
    <row r="361" spans="1:12" hidden="1" x14ac:dyDescent="0.25">
      <c r="A361" s="52">
        <v>45138</v>
      </c>
      <c r="B361" s="27" t="s">
        <v>12</v>
      </c>
      <c r="C361" s="2" t="s">
        <v>1228</v>
      </c>
      <c r="D361" s="2">
        <v>1</v>
      </c>
      <c r="E361" s="27" t="s">
        <v>162</v>
      </c>
      <c r="F361" t="s">
        <v>41</v>
      </c>
      <c r="G361" s="47"/>
      <c r="H361" s="102"/>
      <c r="I361" s="63"/>
      <c r="J361" t="str">
        <f>CONCATENATE(Tabla1[[#This Row],[OBRA]],"/",Tabla1[[#This Row],[CODIGO ENSAYO]])</f>
        <v>14-1/4-8</v>
      </c>
      <c r="K361" s="2" t="str">
        <f>UPPER(TEXT(Tabla1[[#This Row],[FECHA INF]],"MMMM"))</f>
        <v>JULIO</v>
      </c>
      <c r="L36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0367-23</v>
      </c>
    </row>
    <row r="362" spans="1:12" hidden="1" x14ac:dyDescent="0.25">
      <c r="A362" s="52">
        <v>45138</v>
      </c>
      <c r="B362" s="27" t="s">
        <v>12</v>
      </c>
      <c r="C362" s="2" t="s">
        <v>1229</v>
      </c>
      <c r="D362" s="2">
        <v>1</v>
      </c>
      <c r="E362" s="27" t="s">
        <v>138</v>
      </c>
      <c r="F362" t="s">
        <v>23</v>
      </c>
      <c r="G362" s="47"/>
      <c r="H362" s="102"/>
      <c r="I362" s="63"/>
      <c r="J362" t="str">
        <f>CONCATENATE(Tabla1[[#This Row],[OBRA]],"/",Tabla1[[#This Row],[CODIGO ENSAYO]])</f>
        <v>14-1/2-2</v>
      </c>
      <c r="K362" s="2" t="str">
        <f>UPPER(TEXT(Tabla1[[#This Row],[FECHA INF]],"MMMM"))</f>
        <v>JULIO</v>
      </c>
      <c r="L36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0368-23</v>
      </c>
    </row>
    <row r="363" spans="1:12" hidden="1" x14ac:dyDescent="0.25">
      <c r="A363" s="52">
        <v>45138</v>
      </c>
      <c r="B363" s="27" t="s">
        <v>12</v>
      </c>
      <c r="C363" s="2" t="s">
        <v>1229</v>
      </c>
      <c r="D363" s="2">
        <v>1</v>
      </c>
      <c r="E363" s="27" t="s">
        <v>139</v>
      </c>
      <c r="F363" t="s">
        <v>468</v>
      </c>
      <c r="G363" s="47"/>
      <c r="H363" s="102"/>
      <c r="I363" s="63"/>
      <c r="J363" t="str">
        <f>CONCATENATE(Tabla1[[#This Row],[OBRA]],"/",Tabla1[[#This Row],[CODIGO ENSAYO]])</f>
        <v>14-1/2-3</v>
      </c>
      <c r="K363" s="2" t="str">
        <f>UPPER(TEXT(Tabla1[[#This Row],[FECHA INF]],"MMMM"))</f>
        <v>JULIO</v>
      </c>
      <c r="L36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0368-23</v>
      </c>
    </row>
    <row r="364" spans="1:12" hidden="1" x14ac:dyDescent="0.25">
      <c r="A364" s="52">
        <v>45138</v>
      </c>
      <c r="B364" s="27" t="s">
        <v>12</v>
      </c>
      <c r="C364" s="2" t="s">
        <v>1230</v>
      </c>
      <c r="D364" s="2">
        <v>1</v>
      </c>
      <c r="E364" s="27" t="s">
        <v>163</v>
      </c>
      <c r="F364" t="s">
        <v>2</v>
      </c>
      <c r="G364" s="47"/>
      <c r="H364" s="102"/>
      <c r="I364" s="63"/>
      <c r="J364" t="str">
        <f>CONCATENATE(Tabla1[[#This Row],[OBRA]],"/",Tabla1[[#This Row],[CODIGO ENSAYO]])</f>
        <v>14-1/4-9</v>
      </c>
      <c r="K364" s="2" t="str">
        <f>UPPER(TEXT(Tabla1[[#This Row],[FECHA INF]],"MMMM"))</f>
        <v>JULIO</v>
      </c>
      <c r="L36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0369-23</v>
      </c>
    </row>
    <row r="365" spans="1:12" hidden="1" x14ac:dyDescent="0.25">
      <c r="A365" s="52">
        <v>45138</v>
      </c>
      <c r="B365" s="27" t="s">
        <v>12</v>
      </c>
      <c r="C365" s="2" t="s">
        <v>1231</v>
      </c>
      <c r="D365" s="2">
        <v>1</v>
      </c>
      <c r="E365" s="27" t="s">
        <v>169</v>
      </c>
      <c r="F365" t="s">
        <v>47</v>
      </c>
      <c r="G365" s="47"/>
      <c r="H365" s="102"/>
      <c r="I365" s="63"/>
      <c r="J365" t="str">
        <f>CONCATENATE(Tabla1[[#This Row],[OBRA]],"/",Tabla1[[#This Row],[CODIGO ENSAYO]])</f>
        <v>14-1/4-15</v>
      </c>
      <c r="K365" s="2" t="str">
        <f>UPPER(TEXT(Tabla1[[#This Row],[FECHA INF]],"MMMM"))</f>
        <v>JULIO</v>
      </c>
      <c r="L36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0370-23</v>
      </c>
    </row>
    <row r="366" spans="1:12" hidden="1" x14ac:dyDescent="0.25">
      <c r="A366" s="52">
        <v>45138</v>
      </c>
      <c r="B366" s="27" t="s">
        <v>12</v>
      </c>
      <c r="C366" s="2" t="s">
        <v>1232</v>
      </c>
      <c r="D366" s="2">
        <v>1</v>
      </c>
      <c r="E366" s="27" t="s">
        <v>159</v>
      </c>
      <c r="F366" t="s">
        <v>39</v>
      </c>
      <c r="G366" s="47"/>
      <c r="H366" s="102"/>
      <c r="I366" s="63"/>
      <c r="J366" t="str">
        <f>CONCATENATE(Tabla1[[#This Row],[OBRA]],"/",Tabla1[[#This Row],[CODIGO ENSAYO]])</f>
        <v>14-1/4-4</v>
      </c>
      <c r="K366" s="2" t="str">
        <f>UPPER(TEXT(Tabla1[[#This Row],[FECHA INF]],"MMMM"))</f>
        <v>JULIO</v>
      </c>
      <c r="L36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0371-23</v>
      </c>
    </row>
    <row r="367" spans="1:12" hidden="1" x14ac:dyDescent="0.25">
      <c r="A367" s="52">
        <v>45138</v>
      </c>
      <c r="B367" s="27" t="s">
        <v>12</v>
      </c>
      <c r="C367" s="2" t="s">
        <v>1233</v>
      </c>
      <c r="D367" s="2">
        <v>1</v>
      </c>
      <c r="E367" s="27" t="s">
        <v>157</v>
      </c>
      <c r="F367" t="s">
        <v>37</v>
      </c>
      <c r="G367" s="47"/>
      <c r="H367" s="102"/>
      <c r="I367" s="63"/>
      <c r="J367" t="str">
        <f>CONCATENATE(Tabla1[[#This Row],[OBRA]],"/",Tabla1[[#This Row],[CODIGO ENSAYO]])</f>
        <v>14-1/4-2</v>
      </c>
      <c r="K367" s="2" t="str">
        <f>UPPER(TEXT(Tabla1[[#This Row],[FECHA INF]],"MMMM"))</f>
        <v>JULIO</v>
      </c>
      <c r="L36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0372-23</v>
      </c>
    </row>
    <row r="368" spans="1:12" hidden="1" x14ac:dyDescent="0.25">
      <c r="A368" s="52">
        <v>45138</v>
      </c>
      <c r="B368" s="27" t="s">
        <v>12</v>
      </c>
      <c r="C368" s="2" t="s">
        <v>1234</v>
      </c>
      <c r="D368" s="2">
        <v>1</v>
      </c>
      <c r="E368" s="27" t="s">
        <v>162</v>
      </c>
      <c r="F368" t="s">
        <v>41</v>
      </c>
      <c r="G368" s="47"/>
      <c r="H368" s="102"/>
      <c r="I368" s="63"/>
      <c r="J368" t="str">
        <f>CONCATENATE(Tabla1[[#This Row],[OBRA]],"/",Tabla1[[#This Row],[CODIGO ENSAYO]])</f>
        <v>14-1/4-8</v>
      </c>
      <c r="K368" s="2" t="str">
        <f>UPPER(TEXT(Tabla1[[#This Row],[FECHA INF]],"MMMM"))</f>
        <v>JULIO</v>
      </c>
      <c r="L36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0373-23</v>
      </c>
    </row>
    <row r="369" spans="1:12" hidden="1" x14ac:dyDescent="0.25">
      <c r="A369" s="52">
        <v>45138</v>
      </c>
      <c r="B369" s="27" t="s">
        <v>12</v>
      </c>
      <c r="C369" s="2" t="s">
        <v>1235</v>
      </c>
      <c r="D369" s="2">
        <v>1</v>
      </c>
      <c r="E369" s="27" t="s">
        <v>162</v>
      </c>
      <c r="F369" t="s">
        <v>41</v>
      </c>
      <c r="G369" s="47"/>
      <c r="H369" s="102"/>
      <c r="I369" s="63"/>
      <c r="J369" t="str">
        <f>CONCATENATE(Tabla1[[#This Row],[OBRA]],"/",Tabla1[[#This Row],[CODIGO ENSAYO]])</f>
        <v>14-1/4-8</v>
      </c>
      <c r="K369" s="2" t="str">
        <f>UPPER(TEXT(Tabla1[[#This Row],[FECHA INF]],"MMMM"))</f>
        <v>JULIO</v>
      </c>
      <c r="L36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0374-23</v>
      </c>
    </row>
    <row r="370" spans="1:12" hidden="1" x14ac:dyDescent="0.25">
      <c r="A370" s="52">
        <v>45138</v>
      </c>
      <c r="B370" s="27" t="s">
        <v>12</v>
      </c>
      <c r="C370" s="2" t="s">
        <v>1236</v>
      </c>
      <c r="D370" s="2">
        <v>1</v>
      </c>
      <c r="E370" s="27" t="s">
        <v>139</v>
      </c>
      <c r="F370" t="s">
        <v>468</v>
      </c>
      <c r="G370" s="47"/>
      <c r="H370" s="102"/>
      <c r="I370" s="63"/>
      <c r="J370" t="str">
        <f>CONCATENATE(Tabla1[[#This Row],[OBRA]],"/",Tabla1[[#This Row],[CODIGO ENSAYO]])</f>
        <v>14-1/2-3</v>
      </c>
      <c r="K370" s="2" t="str">
        <f>UPPER(TEXT(Tabla1[[#This Row],[FECHA INF]],"MMMM"))</f>
        <v>JULIO</v>
      </c>
      <c r="L37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0375-23</v>
      </c>
    </row>
    <row r="371" spans="1:12" hidden="1" x14ac:dyDescent="0.25">
      <c r="A371" s="52">
        <v>45138</v>
      </c>
      <c r="B371" s="27" t="s">
        <v>12</v>
      </c>
      <c r="C371" s="2" t="s">
        <v>1237</v>
      </c>
      <c r="D371" s="2">
        <v>1</v>
      </c>
      <c r="E371" s="27" t="s">
        <v>166</v>
      </c>
      <c r="F371" t="s">
        <v>37</v>
      </c>
      <c r="G371" s="47"/>
      <c r="H371" s="102"/>
      <c r="I371" s="63"/>
      <c r="J371" t="str">
        <f>CONCATENATE(Tabla1[[#This Row],[OBRA]],"/",Tabla1[[#This Row],[CODIGO ENSAYO]])</f>
        <v>14-1/4-12</v>
      </c>
      <c r="K371" s="2" t="str">
        <f>UPPER(TEXT(Tabla1[[#This Row],[FECHA INF]],"MMMM"))</f>
        <v>JULIO</v>
      </c>
      <c r="L37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0376-23</v>
      </c>
    </row>
    <row r="372" spans="1:12" hidden="1" x14ac:dyDescent="0.25">
      <c r="A372" s="52">
        <v>45138</v>
      </c>
      <c r="B372" s="27" t="s">
        <v>12</v>
      </c>
      <c r="C372" s="2" t="s">
        <v>1238</v>
      </c>
      <c r="D372" s="2">
        <v>1</v>
      </c>
      <c r="E372" s="27" t="s">
        <v>333</v>
      </c>
      <c r="F372" t="s">
        <v>334</v>
      </c>
      <c r="G372" s="47"/>
      <c r="H372" s="102"/>
      <c r="I372" s="63"/>
      <c r="J372" t="str">
        <f>CONCATENATE(Tabla1[[#This Row],[OBRA]],"/",Tabla1[[#This Row],[CODIGO ENSAYO]])</f>
        <v>14-1/4-16</v>
      </c>
      <c r="K372" s="2" t="str">
        <f>UPPER(TEXT(Tabla1[[#This Row],[FECHA INF]],"MMMM"))</f>
        <v>JULIO</v>
      </c>
      <c r="L37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0377-23</v>
      </c>
    </row>
    <row r="373" spans="1:12" hidden="1" x14ac:dyDescent="0.25">
      <c r="A373" s="52">
        <v>45138</v>
      </c>
      <c r="B373" s="27" t="s">
        <v>12</v>
      </c>
      <c r="C373" s="2" t="s">
        <v>1239</v>
      </c>
      <c r="D373" s="2">
        <v>1</v>
      </c>
      <c r="E373" s="27" t="s">
        <v>168</v>
      </c>
      <c r="F373" t="s">
        <v>46</v>
      </c>
      <c r="G373" s="47"/>
      <c r="H373" s="102"/>
      <c r="I373" s="63"/>
      <c r="J373" t="str">
        <f>CONCATENATE(Tabla1[[#This Row],[OBRA]],"/",Tabla1[[#This Row],[CODIGO ENSAYO]])</f>
        <v>14-1/4-14</v>
      </c>
      <c r="K373" s="2" t="str">
        <f>UPPER(TEXT(Tabla1[[#This Row],[FECHA INF]],"MMMM"))</f>
        <v>JULIO</v>
      </c>
      <c r="L37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0378-23</v>
      </c>
    </row>
    <row r="374" spans="1:12" hidden="1" x14ac:dyDescent="0.25">
      <c r="A374" s="52">
        <v>45138</v>
      </c>
      <c r="B374" s="27" t="s">
        <v>12</v>
      </c>
      <c r="C374" s="2" t="s">
        <v>1240</v>
      </c>
      <c r="D374" s="2">
        <v>1</v>
      </c>
      <c r="E374" s="27" t="s">
        <v>162</v>
      </c>
      <c r="F374" t="s">
        <v>41</v>
      </c>
      <c r="G374" s="47"/>
      <c r="H374" s="102"/>
      <c r="I374" s="63"/>
      <c r="J374" t="str">
        <f>CONCATENATE(Tabla1[[#This Row],[OBRA]],"/",Tabla1[[#This Row],[CODIGO ENSAYO]])</f>
        <v>14-1/4-8</v>
      </c>
      <c r="K374" s="2" t="str">
        <f>UPPER(TEXT(Tabla1[[#This Row],[FECHA INF]],"MMMM"))</f>
        <v>JULIO</v>
      </c>
      <c r="L37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0379-23</v>
      </c>
    </row>
    <row r="375" spans="1:12" hidden="1" x14ac:dyDescent="0.25">
      <c r="A375" s="52">
        <v>45138</v>
      </c>
      <c r="B375" s="27" t="s">
        <v>12</v>
      </c>
      <c r="C375" s="2" t="s">
        <v>1241</v>
      </c>
      <c r="D375" s="2">
        <v>1</v>
      </c>
      <c r="E375" s="27" t="s">
        <v>162</v>
      </c>
      <c r="F375" t="s">
        <v>41</v>
      </c>
      <c r="G375" s="47"/>
      <c r="H375" s="102"/>
      <c r="I375" s="63"/>
      <c r="J375" t="str">
        <f>CONCATENATE(Tabla1[[#This Row],[OBRA]],"/",Tabla1[[#This Row],[CODIGO ENSAYO]])</f>
        <v>14-1/4-8</v>
      </c>
      <c r="K375" s="2" t="str">
        <f>UPPER(TEXT(Tabla1[[#This Row],[FECHA INF]],"MMMM"))</f>
        <v>JULIO</v>
      </c>
      <c r="L37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0380-23</v>
      </c>
    </row>
    <row r="376" spans="1:12" hidden="1" x14ac:dyDescent="0.25">
      <c r="A376" s="52">
        <v>45138</v>
      </c>
      <c r="B376" s="27" t="s">
        <v>12</v>
      </c>
      <c r="C376" s="2" t="s">
        <v>1242</v>
      </c>
      <c r="D376" s="2">
        <v>1</v>
      </c>
      <c r="E376" s="27" t="s">
        <v>525</v>
      </c>
      <c r="F376" t="s">
        <v>526</v>
      </c>
      <c r="G376" s="47"/>
      <c r="H376" s="102"/>
      <c r="I376" s="63"/>
      <c r="J376" t="str">
        <f>CONCATENATE(Tabla1[[#This Row],[OBRA]],"/",Tabla1[[#This Row],[CODIGO ENSAYO]])</f>
        <v>14-1/2-19</v>
      </c>
      <c r="K376" s="2" t="str">
        <f>UPPER(TEXT(Tabla1[[#This Row],[FECHA INF]],"MMMM"))</f>
        <v>JULIO</v>
      </c>
      <c r="L37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0381-23</v>
      </c>
    </row>
    <row r="377" spans="1:12" hidden="1" x14ac:dyDescent="0.25">
      <c r="A377" s="52">
        <v>45138</v>
      </c>
      <c r="B377" s="27" t="s">
        <v>854</v>
      </c>
      <c r="C377" s="2" t="s">
        <v>1188</v>
      </c>
      <c r="D377" s="2">
        <v>8</v>
      </c>
      <c r="E377" s="27" t="s">
        <v>123</v>
      </c>
      <c r="F377" t="s">
        <v>15</v>
      </c>
      <c r="G377" s="47"/>
      <c r="H377" s="102"/>
      <c r="I377" s="63" t="s">
        <v>1005</v>
      </c>
      <c r="J377" t="str">
        <f>CONCATENATE(Tabla1[[#This Row],[OBRA]],"/",Tabla1[[#This Row],[CODIGO ENSAYO]])</f>
        <v>8-1/1-1</v>
      </c>
      <c r="K377" s="2" t="str">
        <f>UPPER(TEXT(Tabla1[[#This Row],[FECHA INF]],"MMMM"))</f>
        <v>JULIO</v>
      </c>
      <c r="L37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0382-23</v>
      </c>
    </row>
    <row r="378" spans="1:12" hidden="1" x14ac:dyDescent="0.25">
      <c r="A378" s="52">
        <v>45138</v>
      </c>
      <c r="B378" s="27" t="s">
        <v>148</v>
      </c>
      <c r="C378" s="2" t="s">
        <v>1177</v>
      </c>
      <c r="D378" s="2">
        <v>6</v>
      </c>
      <c r="E378" s="27" t="s">
        <v>123</v>
      </c>
      <c r="F378" t="s">
        <v>15</v>
      </c>
      <c r="G378" s="47"/>
      <c r="H378" s="102"/>
      <c r="I378" s="63"/>
      <c r="J378" t="str">
        <f>CONCATENATE(Tabla1[[#This Row],[OBRA]],"/",Tabla1[[#This Row],[CODIGO ENSAYO]])</f>
        <v>3-1/1-1</v>
      </c>
      <c r="K378" s="2" t="str">
        <f>UPPER(TEXT(Tabla1[[#This Row],[FECHA INF]],"MMMM"))</f>
        <v>JULIO</v>
      </c>
      <c r="L37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0383-23</v>
      </c>
    </row>
    <row r="379" spans="1:12" hidden="1" x14ac:dyDescent="0.25">
      <c r="A379" s="52">
        <v>45138</v>
      </c>
      <c r="B379" s="27" t="s">
        <v>854</v>
      </c>
      <c r="C379" s="2" t="s">
        <v>1189</v>
      </c>
      <c r="D379" s="2">
        <v>9</v>
      </c>
      <c r="E379" s="27" t="s">
        <v>123</v>
      </c>
      <c r="F379" t="s">
        <v>15</v>
      </c>
      <c r="G379" s="47"/>
      <c r="H379" s="102"/>
      <c r="I379" s="63" t="s">
        <v>1005</v>
      </c>
      <c r="J379" t="str">
        <f>CONCATENATE(Tabla1[[#This Row],[OBRA]],"/",Tabla1[[#This Row],[CODIGO ENSAYO]])</f>
        <v>8-1/1-1</v>
      </c>
      <c r="K379" s="2" t="str">
        <f>UPPER(TEXT(Tabla1[[#This Row],[FECHA INF]],"MMMM"))</f>
        <v>JULIO</v>
      </c>
      <c r="L37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0384-23</v>
      </c>
    </row>
    <row r="380" spans="1:12" hidden="1" x14ac:dyDescent="0.25">
      <c r="A380" s="52">
        <v>45138</v>
      </c>
      <c r="B380" s="27" t="s">
        <v>854</v>
      </c>
      <c r="C380" s="2" t="s">
        <v>1190</v>
      </c>
      <c r="D380" s="2">
        <v>10</v>
      </c>
      <c r="E380" s="27" t="s">
        <v>123</v>
      </c>
      <c r="F380" t="s">
        <v>15</v>
      </c>
      <c r="G380" s="47"/>
      <c r="H380" s="102"/>
      <c r="I380" s="63" t="s">
        <v>1005</v>
      </c>
      <c r="J380" t="str">
        <f>CONCATENATE(Tabla1[[#This Row],[OBRA]],"/",Tabla1[[#This Row],[CODIGO ENSAYO]])</f>
        <v>8-1/1-1</v>
      </c>
      <c r="K380" s="2" t="str">
        <f>UPPER(TEXT(Tabla1[[#This Row],[FECHA INF]],"MMMM"))</f>
        <v>JULIO</v>
      </c>
      <c r="L38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0385-23</v>
      </c>
    </row>
    <row r="381" spans="1:12" hidden="1" x14ac:dyDescent="0.25">
      <c r="A381" s="52">
        <v>45138</v>
      </c>
      <c r="B381" s="27" t="s">
        <v>854</v>
      </c>
      <c r="C381" s="2" t="s">
        <v>1191</v>
      </c>
      <c r="D381" s="2">
        <v>14</v>
      </c>
      <c r="E381" s="27" t="s">
        <v>123</v>
      </c>
      <c r="F381" t="s">
        <v>15</v>
      </c>
      <c r="G381" s="47"/>
      <c r="H381" s="102"/>
      <c r="I381" s="63" t="s">
        <v>1005</v>
      </c>
      <c r="J381" t="str">
        <f>CONCATENATE(Tabla1[[#This Row],[OBRA]],"/",Tabla1[[#This Row],[CODIGO ENSAYO]])</f>
        <v>8-1/1-1</v>
      </c>
      <c r="K381" s="2" t="str">
        <f>UPPER(TEXT(Tabla1[[#This Row],[FECHA INF]],"MMMM"))</f>
        <v>JULIO</v>
      </c>
      <c r="L38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0386-23</v>
      </c>
    </row>
    <row r="382" spans="1:12" hidden="1" x14ac:dyDescent="0.25">
      <c r="A382" s="52">
        <v>45138</v>
      </c>
      <c r="B382" s="27" t="s">
        <v>854</v>
      </c>
      <c r="C382" s="2" t="s">
        <v>1192</v>
      </c>
      <c r="D382" s="2">
        <v>15</v>
      </c>
      <c r="E382" s="27" t="s">
        <v>123</v>
      </c>
      <c r="F382" t="s">
        <v>15</v>
      </c>
      <c r="G382" s="47"/>
      <c r="H382" s="102"/>
      <c r="I382" s="63" t="s">
        <v>1005</v>
      </c>
      <c r="J382" t="str">
        <f>CONCATENATE(Tabla1[[#This Row],[OBRA]],"/",Tabla1[[#This Row],[CODIGO ENSAYO]])</f>
        <v>8-1/1-1</v>
      </c>
      <c r="K382" s="2" t="str">
        <f>UPPER(TEXT(Tabla1[[#This Row],[FECHA INF]],"MMMM"))</f>
        <v>JULIO</v>
      </c>
      <c r="L38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0387-23</v>
      </c>
    </row>
    <row r="383" spans="1:12" hidden="1" x14ac:dyDescent="0.25">
      <c r="A383" s="52">
        <v>45138</v>
      </c>
      <c r="B383" s="27" t="s">
        <v>192</v>
      </c>
      <c r="C383" s="2" t="s">
        <v>1200</v>
      </c>
      <c r="D383" s="2">
        <v>2</v>
      </c>
      <c r="E383" s="27" t="s">
        <v>175</v>
      </c>
      <c r="F383" t="s">
        <v>390</v>
      </c>
      <c r="G383" s="47"/>
      <c r="H383" s="102"/>
      <c r="I383" s="63"/>
      <c r="J383" t="str">
        <f>CONCATENATE(Tabla1[[#This Row],[OBRA]],"/",Tabla1[[#This Row],[CODIGO ENSAYO]])</f>
        <v>10-2/7-1</v>
      </c>
      <c r="K383" s="2" t="str">
        <f>UPPER(TEXT(Tabla1[[#This Row],[FECHA INF]],"MMMM"))</f>
        <v>JULIO</v>
      </c>
      <c r="L38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0388-23</v>
      </c>
    </row>
    <row r="384" spans="1:12" hidden="1" x14ac:dyDescent="0.25">
      <c r="A384" s="52">
        <v>45138</v>
      </c>
      <c r="B384" s="27" t="s">
        <v>854</v>
      </c>
      <c r="C384" s="2" t="s">
        <v>1193</v>
      </c>
      <c r="D384" s="2">
        <v>6</v>
      </c>
      <c r="E384" s="27" t="s">
        <v>123</v>
      </c>
      <c r="F384" t="s">
        <v>15</v>
      </c>
      <c r="G384" s="47"/>
      <c r="H384" s="102"/>
      <c r="I384" s="63" t="s">
        <v>1005</v>
      </c>
      <c r="J384" t="str">
        <f>CONCATENATE(Tabla1[[#This Row],[OBRA]],"/",Tabla1[[#This Row],[CODIGO ENSAYO]])</f>
        <v>8-1/1-1</v>
      </c>
      <c r="K384" s="2" t="str">
        <f>UPPER(TEXT(Tabla1[[#This Row],[FECHA INF]],"MMMM"))</f>
        <v>JULIO</v>
      </c>
      <c r="L38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0390-23</v>
      </c>
    </row>
    <row r="385" spans="1:12" hidden="1" x14ac:dyDescent="0.25">
      <c r="A385" s="52">
        <v>45138</v>
      </c>
      <c r="B385" s="27" t="s">
        <v>522</v>
      </c>
      <c r="C385" s="2" t="s">
        <v>1252</v>
      </c>
      <c r="D385" s="2">
        <v>2</v>
      </c>
      <c r="E385" s="27" t="s">
        <v>127</v>
      </c>
      <c r="F385" t="s">
        <v>31</v>
      </c>
      <c r="G385" s="47"/>
      <c r="H385" s="102"/>
      <c r="I385" s="63"/>
      <c r="J385" t="str">
        <f>CONCATENATE(Tabla1[[#This Row],[OBRA]],"/",Tabla1[[#This Row],[CODIGO ENSAYO]])</f>
        <v>17-1/1-3-1</v>
      </c>
      <c r="K385" s="2" t="str">
        <f>UPPER(TEXT(Tabla1[[#This Row],[FECHA INF]],"MMMM"))</f>
        <v>JULIO</v>
      </c>
      <c r="L38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0391-23</v>
      </c>
    </row>
    <row r="386" spans="1:12" hidden="1" x14ac:dyDescent="0.25">
      <c r="A386" s="52">
        <v>45138</v>
      </c>
      <c r="B386" s="27" t="s">
        <v>854</v>
      </c>
      <c r="C386" s="2" t="s">
        <v>1194</v>
      </c>
      <c r="D386" s="2">
        <v>9</v>
      </c>
      <c r="E386" s="27" t="s">
        <v>123</v>
      </c>
      <c r="F386" t="s">
        <v>15</v>
      </c>
      <c r="G386" s="47"/>
      <c r="H386" s="102"/>
      <c r="I386" s="63" t="s">
        <v>1005</v>
      </c>
      <c r="J386" t="str">
        <f>CONCATENATE(Tabla1[[#This Row],[OBRA]],"/",Tabla1[[#This Row],[CODIGO ENSAYO]])</f>
        <v>8-1/1-1</v>
      </c>
      <c r="K386" s="2" t="str">
        <f>UPPER(TEXT(Tabla1[[#This Row],[FECHA INF]],"MMMM"))</f>
        <v>JULIO</v>
      </c>
      <c r="L38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0392-23</v>
      </c>
    </row>
    <row r="387" spans="1:12" hidden="1" x14ac:dyDescent="0.25">
      <c r="A387" s="52">
        <v>45138</v>
      </c>
      <c r="B387" s="27" t="s">
        <v>854</v>
      </c>
      <c r="C387" s="2" t="s">
        <v>1195</v>
      </c>
      <c r="D387" s="2">
        <v>12</v>
      </c>
      <c r="E387" s="27" t="s">
        <v>123</v>
      </c>
      <c r="F387" t="s">
        <v>15</v>
      </c>
      <c r="G387" s="47"/>
      <c r="H387" s="102"/>
      <c r="I387" s="63" t="s">
        <v>1005</v>
      </c>
      <c r="J387" t="str">
        <f>CONCATENATE(Tabla1[[#This Row],[OBRA]],"/",Tabla1[[#This Row],[CODIGO ENSAYO]])</f>
        <v>8-1/1-1</v>
      </c>
      <c r="K387" s="2" t="str">
        <f>UPPER(TEXT(Tabla1[[#This Row],[FECHA INF]],"MMMM"))</f>
        <v>JULIO</v>
      </c>
      <c r="L38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0393-23</v>
      </c>
    </row>
    <row r="388" spans="1:12" hidden="1" x14ac:dyDescent="0.25">
      <c r="A388" s="52">
        <v>45138</v>
      </c>
      <c r="B388" s="27" t="s">
        <v>522</v>
      </c>
      <c r="C388" s="2" t="s">
        <v>1253</v>
      </c>
      <c r="D388" s="2">
        <v>5</v>
      </c>
      <c r="E388" s="27" t="s">
        <v>12</v>
      </c>
      <c r="F388" t="s">
        <v>106</v>
      </c>
      <c r="G388" s="47"/>
      <c r="H388" s="102"/>
      <c r="I388" s="63"/>
      <c r="J388" t="str">
        <f>CONCATENATE(Tabla1[[#This Row],[OBRA]],"/",Tabla1[[#This Row],[CODIGO ENSAYO]])</f>
        <v>17-1/14-1</v>
      </c>
      <c r="K388" s="2" t="str">
        <f>UPPER(TEXT(Tabla1[[#This Row],[FECHA INF]],"MMMM"))</f>
        <v>JULIO</v>
      </c>
      <c r="L38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0395-23</v>
      </c>
    </row>
    <row r="389" spans="1:12" hidden="1" x14ac:dyDescent="0.25">
      <c r="A389" s="52">
        <v>45138</v>
      </c>
      <c r="B389" s="27" t="s">
        <v>854</v>
      </c>
      <c r="C389" s="2" t="s">
        <v>1196</v>
      </c>
      <c r="D389" s="2">
        <v>15</v>
      </c>
      <c r="E389" s="27" t="s">
        <v>123</v>
      </c>
      <c r="F389" t="s">
        <v>15</v>
      </c>
      <c r="G389" s="47"/>
      <c r="H389" s="102"/>
      <c r="I389" s="63" t="s">
        <v>1005</v>
      </c>
      <c r="J389" t="str">
        <f>CONCATENATE(Tabla1[[#This Row],[OBRA]],"/",Tabla1[[#This Row],[CODIGO ENSAYO]])</f>
        <v>8-1/1-1</v>
      </c>
      <c r="K389" s="2" t="str">
        <f>UPPER(TEXT(Tabla1[[#This Row],[FECHA INF]],"MMMM"))</f>
        <v>JULIO</v>
      </c>
      <c r="L38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0396-23</v>
      </c>
    </row>
    <row r="390" spans="1:12" hidden="1" x14ac:dyDescent="0.25">
      <c r="A390" s="52">
        <v>45138</v>
      </c>
      <c r="B390" s="27" t="s">
        <v>854</v>
      </c>
      <c r="C390" s="2" t="s">
        <v>1197</v>
      </c>
      <c r="D390" s="2">
        <v>3</v>
      </c>
      <c r="E390" s="27" t="s">
        <v>123</v>
      </c>
      <c r="F390" t="s">
        <v>15</v>
      </c>
      <c r="G390" s="47"/>
      <c r="H390" s="102"/>
      <c r="I390" s="63" t="s">
        <v>1005</v>
      </c>
      <c r="J390" t="str">
        <f>CONCATENATE(Tabla1[[#This Row],[OBRA]],"/",Tabla1[[#This Row],[CODIGO ENSAYO]])</f>
        <v>8-1/1-1</v>
      </c>
      <c r="K390" s="2" t="str">
        <f>UPPER(TEXT(Tabla1[[#This Row],[FECHA INF]],"MMMM"))</f>
        <v>JULIO</v>
      </c>
      <c r="L39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0397-23</v>
      </c>
    </row>
    <row r="391" spans="1:12" hidden="1" x14ac:dyDescent="0.25">
      <c r="A391" s="52">
        <v>45138</v>
      </c>
      <c r="B391" s="27" t="s">
        <v>854</v>
      </c>
      <c r="C391" s="2" t="s">
        <v>1199</v>
      </c>
      <c r="D391" s="2">
        <v>12</v>
      </c>
      <c r="E391" s="27" t="s">
        <v>123</v>
      </c>
      <c r="F391" t="s">
        <v>15</v>
      </c>
      <c r="G391" s="47"/>
      <c r="H391" s="102"/>
      <c r="I391" s="63" t="s">
        <v>1005</v>
      </c>
      <c r="J391" t="str">
        <f>CONCATENATE(Tabla1[[#This Row],[OBRA]],"/",Tabla1[[#This Row],[CODIGO ENSAYO]])</f>
        <v>8-1/1-1</v>
      </c>
      <c r="K391" s="2" t="str">
        <f>UPPER(TEXT(Tabla1[[#This Row],[FECHA INF]],"MMMM"))</f>
        <v>JULIO</v>
      </c>
      <c r="L39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0399-23</v>
      </c>
    </row>
    <row r="392" spans="1:12" hidden="1" x14ac:dyDescent="0.25">
      <c r="A392" s="52">
        <v>45168</v>
      </c>
      <c r="B392" s="27" t="s">
        <v>11</v>
      </c>
      <c r="C392" s="2" t="s">
        <v>1263</v>
      </c>
      <c r="D392" s="2">
        <v>5</v>
      </c>
      <c r="E392" s="27" t="s">
        <v>175</v>
      </c>
      <c r="F392" t="s">
        <v>390</v>
      </c>
      <c r="G392" s="47"/>
      <c r="H392" s="102"/>
      <c r="I392" s="63"/>
      <c r="J392" t="str">
        <f>CONCATENATE(Tabla1[[#This Row],[OBRA]],"/",Tabla1[[#This Row],[CODIGO ENSAYO]])</f>
        <v>13-1/7-1</v>
      </c>
      <c r="K392" s="2" t="str">
        <f>UPPER(TEXT(Tabla1[[#This Row],[FECHA INF]],"MMMM"))</f>
        <v>AGOSTO</v>
      </c>
      <c r="L39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(2023-08-11-17-24-29-31)</v>
      </c>
    </row>
    <row r="393" spans="1:12" hidden="1" x14ac:dyDescent="0.25">
      <c r="A393" s="52">
        <v>45168</v>
      </c>
      <c r="B393" s="27" t="s">
        <v>192</v>
      </c>
      <c r="C393" s="2" t="s">
        <v>1317</v>
      </c>
      <c r="D393" s="2">
        <v>1</v>
      </c>
      <c r="E393" s="27" t="s">
        <v>175</v>
      </c>
      <c r="F393" t="s">
        <v>390</v>
      </c>
      <c r="G393" s="47"/>
      <c r="H393" s="102"/>
      <c r="I393" s="63"/>
      <c r="J393" t="str">
        <f>CONCATENATE(Tabla1[[#This Row],[OBRA]],"/",Tabla1[[#This Row],[CODIGO ENSAYO]])</f>
        <v>10-2/7-1</v>
      </c>
      <c r="K393" s="2" t="str">
        <f>UPPER(TEXT(Tabla1[[#This Row],[FECHA INF]],"MMMM"))</f>
        <v>AGOSTO</v>
      </c>
      <c r="L39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(2023-08-30-10.2)</v>
      </c>
    </row>
    <row r="394" spans="1:12" hidden="1" x14ac:dyDescent="0.25">
      <c r="A394" s="52">
        <v>45168</v>
      </c>
      <c r="B394" s="27" t="s">
        <v>11</v>
      </c>
      <c r="C394" s="2" t="s">
        <v>1316</v>
      </c>
      <c r="D394" s="2">
        <v>4</v>
      </c>
      <c r="E394" s="27" t="s">
        <v>175</v>
      </c>
      <c r="F394" t="s">
        <v>390</v>
      </c>
      <c r="G394" s="47"/>
      <c r="H394" s="102"/>
      <c r="I394" s="63"/>
      <c r="J394" t="str">
        <f>CONCATENATE(Tabla1[[#This Row],[OBRA]],"/",Tabla1[[#This Row],[CODIGO ENSAYO]])</f>
        <v>13-1/7-1</v>
      </c>
      <c r="K394" s="2" t="str">
        <f>UPPER(TEXT(Tabla1[[#This Row],[FECHA INF]],"MMMM"))</f>
        <v>AGOSTO</v>
      </c>
      <c r="L39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(2023-08-30-13.1)</v>
      </c>
    </row>
    <row r="395" spans="1:12" hidden="1" x14ac:dyDescent="0.25">
      <c r="A395" s="52">
        <v>45168</v>
      </c>
      <c r="B395" s="27" t="s">
        <v>854</v>
      </c>
      <c r="C395" s="2" t="s">
        <v>1315</v>
      </c>
      <c r="D395" s="2">
        <v>7</v>
      </c>
      <c r="E395" s="27" t="s">
        <v>175</v>
      </c>
      <c r="F395" t="s">
        <v>390</v>
      </c>
      <c r="G395" s="47"/>
      <c r="H395" s="102"/>
      <c r="I395" s="63" t="s">
        <v>1005</v>
      </c>
      <c r="J395" t="str">
        <f>CONCATENATE(Tabla1[[#This Row],[OBRA]],"/",Tabla1[[#This Row],[CODIGO ENSAYO]])</f>
        <v>8-1/7-1</v>
      </c>
      <c r="K395" s="2" t="str">
        <f>UPPER(TEXT(Tabla1[[#This Row],[FECHA INF]],"MMMM"))</f>
        <v>AGOSTO</v>
      </c>
      <c r="L39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(2023-08-30-8-1)</v>
      </c>
    </row>
    <row r="396" spans="1:12" hidden="1" x14ac:dyDescent="0.25">
      <c r="A396" s="52">
        <v>45168</v>
      </c>
      <c r="B396" s="27" t="s">
        <v>148</v>
      </c>
      <c r="C396" s="2" t="s">
        <v>1198</v>
      </c>
      <c r="D396" s="2">
        <v>8</v>
      </c>
      <c r="E396" s="27" t="s">
        <v>123</v>
      </c>
      <c r="F396" t="s">
        <v>15</v>
      </c>
      <c r="G396" s="47"/>
      <c r="H396" s="102"/>
      <c r="I396" s="63"/>
      <c r="J396" t="str">
        <f>CONCATENATE(Tabla1[[#This Row],[OBRA]],"/",Tabla1[[#This Row],[CODIGO ENSAYO]])</f>
        <v>3-1/1-1</v>
      </c>
      <c r="K396" s="2" t="str">
        <f>UPPER(TEXT(Tabla1[[#This Row],[FECHA INF]],"MMMM"))</f>
        <v>AGOSTO</v>
      </c>
      <c r="L39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0398-23</v>
      </c>
    </row>
    <row r="397" spans="1:12" hidden="1" x14ac:dyDescent="0.25">
      <c r="A397" s="52">
        <v>45168</v>
      </c>
      <c r="B397" s="27" t="s">
        <v>854</v>
      </c>
      <c r="C397" s="2" t="s">
        <v>1284</v>
      </c>
      <c r="D397" s="2">
        <v>6</v>
      </c>
      <c r="E397" s="27" t="s">
        <v>123</v>
      </c>
      <c r="F397" t="s">
        <v>15</v>
      </c>
      <c r="G397" s="47"/>
      <c r="H397" s="102"/>
      <c r="I397" s="63" t="s">
        <v>1005</v>
      </c>
      <c r="J397" t="str">
        <f>CONCATENATE(Tabla1[[#This Row],[OBRA]],"/",Tabla1[[#This Row],[CODIGO ENSAYO]])</f>
        <v>8-1/1-1</v>
      </c>
      <c r="K397" s="2" t="str">
        <f>UPPER(TEXT(Tabla1[[#This Row],[FECHA INF]],"MMMM"))</f>
        <v>AGOSTO</v>
      </c>
      <c r="L39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0400-23</v>
      </c>
    </row>
    <row r="398" spans="1:12" hidden="1" x14ac:dyDescent="0.25">
      <c r="A398" s="52">
        <v>45168</v>
      </c>
      <c r="B398" s="27" t="s">
        <v>192</v>
      </c>
      <c r="C398" s="2" t="s">
        <v>1314</v>
      </c>
      <c r="D398" s="2">
        <v>1</v>
      </c>
      <c r="E398" s="27" t="s">
        <v>135</v>
      </c>
      <c r="F398" t="s">
        <v>402</v>
      </c>
      <c r="G398" s="47"/>
      <c r="H398" s="102"/>
      <c r="I398" s="63"/>
      <c r="J398" t="str">
        <f>CONCATENATE(Tabla1[[#This Row],[OBRA]],"/",Tabla1[[#This Row],[CODIGO ENSAYO]])</f>
        <v>10-2/1-9</v>
      </c>
      <c r="K398" s="2" t="str">
        <f>UPPER(TEXT(Tabla1[[#This Row],[FECHA INF]],"MMMM"))</f>
        <v>AGOSTO</v>
      </c>
      <c r="L39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0401-23</v>
      </c>
    </row>
    <row r="399" spans="1:12" hidden="1" x14ac:dyDescent="0.25">
      <c r="A399" s="52">
        <v>45168</v>
      </c>
      <c r="B399" s="27" t="s">
        <v>854</v>
      </c>
      <c r="C399" s="2" t="s">
        <v>1285</v>
      </c>
      <c r="D399" s="2">
        <v>9</v>
      </c>
      <c r="E399" s="27" t="s">
        <v>123</v>
      </c>
      <c r="F399" t="s">
        <v>15</v>
      </c>
      <c r="G399" s="47"/>
      <c r="H399" s="102"/>
      <c r="I399" s="63" t="s">
        <v>1005</v>
      </c>
      <c r="J399" t="str">
        <f>CONCATENATE(Tabla1[[#This Row],[OBRA]],"/",Tabla1[[#This Row],[CODIGO ENSAYO]])</f>
        <v>8-1/1-1</v>
      </c>
      <c r="K399" s="2" t="str">
        <f>UPPER(TEXT(Tabla1[[#This Row],[FECHA INF]],"MMMM"))</f>
        <v>AGOSTO</v>
      </c>
      <c r="L39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0402-23</v>
      </c>
    </row>
    <row r="400" spans="1:12" hidden="1" x14ac:dyDescent="0.25">
      <c r="A400" s="52">
        <v>45168</v>
      </c>
      <c r="B400" s="27" t="s">
        <v>854</v>
      </c>
      <c r="C400" s="2" t="s">
        <v>1286</v>
      </c>
      <c r="D400" s="2">
        <v>12</v>
      </c>
      <c r="E400" s="27" t="s">
        <v>123</v>
      </c>
      <c r="F400" t="s">
        <v>15</v>
      </c>
      <c r="G400" s="47"/>
      <c r="H400" s="102"/>
      <c r="I400" s="63" t="s">
        <v>1005</v>
      </c>
      <c r="J400" t="str">
        <f>CONCATENATE(Tabla1[[#This Row],[OBRA]],"/",Tabla1[[#This Row],[CODIGO ENSAYO]])</f>
        <v>8-1/1-1</v>
      </c>
      <c r="K400" s="2" t="str">
        <f>UPPER(TEXT(Tabla1[[#This Row],[FECHA INF]],"MMMM"))</f>
        <v>AGOSTO</v>
      </c>
      <c r="L40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0403-23</v>
      </c>
    </row>
    <row r="401" spans="1:12" hidden="1" x14ac:dyDescent="0.25">
      <c r="A401" s="52">
        <v>45168</v>
      </c>
      <c r="B401" s="27" t="s">
        <v>854</v>
      </c>
      <c r="C401" s="2" t="s">
        <v>1287</v>
      </c>
      <c r="D401" s="2">
        <v>6</v>
      </c>
      <c r="E401" s="27" t="s">
        <v>123</v>
      </c>
      <c r="F401" t="s">
        <v>15</v>
      </c>
      <c r="G401" s="47"/>
      <c r="H401" s="102"/>
      <c r="I401" s="63" t="s">
        <v>1005</v>
      </c>
      <c r="J401" t="str">
        <f>CONCATENATE(Tabla1[[#This Row],[OBRA]],"/",Tabla1[[#This Row],[CODIGO ENSAYO]])</f>
        <v>8-1/1-1</v>
      </c>
      <c r="K401" s="2" t="str">
        <f>UPPER(TEXT(Tabla1[[#This Row],[FECHA INF]],"MMMM"))</f>
        <v>AGOSTO</v>
      </c>
      <c r="L40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0404-23</v>
      </c>
    </row>
    <row r="402" spans="1:12" hidden="1" x14ac:dyDescent="0.25">
      <c r="A402" s="52">
        <v>45168</v>
      </c>
      <c r="B402" s="27" t="s">
        <v>854</v>
      </c>
      <c r="C402" s="2" t="s">
        <v>1288</v>
      </c>
      <c r="D402" s="2">
        <v>10</v>
      </c>
      <c r="E402" s="27" t="s">
        <v>123</v>
      </c>
      <c r="F402" t="s">
        <v>15</v>
      </c>
      <c r="G402" s="47"/>
      <c r="H402" s="102"/>
      <c r="I402" s="63" t="s">
        <v>1005</v>
      </c>
      <c r="J402" t="str">
        <f>CONCATENATE(Tabla1[[#This Row],[OBRA]],"/",Tabla1[[#This Row],[CODIGO ENSAYO]])</f>
        <v>8-1/1-1</v>
      </c>
      <c r="K402" s="2" t="str">
        <f>UPPER(TEXT(Tabla1[[#This Row],[FECHA INF]],"MMMM"))</f>
        <v>AGOSTO</v>
      </c>
      <c r="L40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0405-23</v>
      </c>
    </row>
    <row r="403" spans="1:12" hidden="1" x14ac:dyDescent="0.25">
      <c r="A403" s="52">
        <v>45168</v>
      </c>
      <c r="B403" s="27" t="s">
        <v>854</v>
      </c>
      <c r="C403" s="2" t="s">
        <v>1289</v>
      </c>
      <c r="D403" s="2">
        <v>12</v>
      </c>
      <c r="E403" s="27" t="s">
        <v>123</v>
      </c>
      <c r="F403" t="s">
        <v>15</v>
      </c>
      <c r="G403" s="47"/>
      <c r="H403" s="102"/>
      <c r="I403" s="63" t="s">
        <v>1005</v>
      </c>
      <c r="J403" t="str">
        <f>CONCATENATE(Tabla1[[#This Row],[OBRA]],"/",Tabla1[[#This Row],[CODIGO ENSAYO]])</f>
        <v>8-1/1-1</v>
      </c>
      <c r="K403" s="2" t="str">
        <f>UPPER(TEXT(Tabla1[[#This Row],[FECHA INF]],"MMMM"))</f>
        <v>AGOSTO</v>
      </c>
      <c r="L40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0406-23</v>
      </c>
    </row>
    <row r="404" spans="1:12" hidden="1" x14ac:dyDescent="0.25">
      <c r="A404" s="52">
        <v>45168</v>
      </c>
      <c r="B404" s="27" t="s">
        <v>854</v>
      </c>
      <c r="C404" s="2" t="s">
        <v>1290</v>
      </c>
      <c r="D404" s="2">
        <v>9</v>
      </c>
      <c r="E404" s="27" t="s">
        <v>123</v>
      </c>
      <c r="F404" t="s">
        <v>15</v>
      </c>
      <c r="G404" s="47"/>
      <c r="H404" s="102"/>
      <c r="I404" s="63" t="s">
        <v>1005</v>
      </c>
      <c r="J404" t="str">
        <f>CONCATENATE(Tabla1[[#This Row],[OBRA]],"/",Tabla1[[#This Row],[CODIGO ENSAYO]])</f>
        <v>8-1/1-1</v>
      </c>
      <c r="K404" s="2" t="str">
        <f>UPPER(TEXT(Tabla1[[#This Row],[FECHA INF]],"MMMM"))</f>
        <v>AGOSTO</v>
      </c>
      <c r="L40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0407-23</v>
      </c>
    </row>
    <row r="405" spans="1:12" hidden="1" x14ac:dyDescent="0.25">
      <c r="A405" s="52">
        <v>45168</v>
      </c>
      <c r="B405" s="27" t="s">
        <v>854</v>
      </c>
      <c r="C405" s="2" t="s">
        <v>1283</v>
      </c>
      <c r="D405" s="2">
        <v>2</v>
      </c>
      <c r="E405" s="27" t="s">
        <v>171</v>
      </c>
      <c r="F405" t="s">
        <v>49</v>
      </c>
      <c r="G405" s="47"/>
      <c r="H405" s="102"/>
      <c r="I405" s="63" t="s">
        <v>1005</v>
      </c>
      <c r="J405" t="str">
        <f>CONCATENATE(Tabla1[[#This Row],[OBRA]],"/",Tabla1[[#This Row],[CODIGO ENSAYO]])</f>
        <v>8-1/5-2</v>
      </c>
      <c r="K405" s="2" t="str">
        <f>UPPER(TEXT(Tabla1[[#This Row],[FECHA INF]],"MMMM"))</f>
        <v>AGOSTO</v>
      </c>
      <c r="L40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0408-23</v>
      </c>
    </row>
    <row r="406" spans="1:12" hidden="1" x14ac:dyDescent="0.25">
      <c r="A406" s="52">
        <v>45168</v>
      </c>
      <c r="B406" s="27" t="s">
        <v>854</v>
      </c>
      <c r="C406" s="2" t="s">
        <v>1291</v>
      </c>
      <c r="D406" s="2">
        <v>9</v>
      </c>
      <c r="E406" s="27" t="s">
        <v>123</v>
      </c>
      <c r="F406" t="s">
        <v>15</v>
      </c>
      <c r="G406" s="47"/>
      <c r="H406" s="102"/>
      <c r="I406" s="63" t="s">
        <v>1005</v>
      </c>
      <c r="J406" t="str">
        <f>CONCATENATE(Tabla1[[#This Row],[OBRA]],"/",Tabla1[[#This Row],[CODIGO ENSAYO]])</f>
        <v>8-1/1-1</v>
      </c>
      <c r="K406" s="2" t="str">
        <f>UPPER(TEXT(Tabla1[[#This Row],[FECHA INF]],"MMMM"))</f>
        <v>AGOSTO</v>
      </c>
      <c r="L40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0409-23</v>
      </c>
    </row>
    <row r="407" spans="1:12" hidden="1" x14ac:dyDescent="0.25">
      <c r="A407" s="52">
        <v>45168</v>
      </c>
      <c r="B407" s="27" t="s">
        <v>854</v>
      </c>
      <c r="C407" s="2" t="s">
        <v>1292</v>
      </c>
      <c r="D407" s="2">
        <v>12</v>
      </c>
      <c r="E407" s="27" t="s">
        <v>123</v>
      </c>
      <c r="F407" t="s">
        <v>15</v>
      </c>
      <c r="G407" s="47"/>
      <c r="H407" s="102"/>
      <c r="I407" s="63" t="s">
        <v>1005</v>
      </c>
      <c r="J407" t="str">
        <f>CONCATENATE(Tabla1[[#This Row],[OBRA]],"/",Tabla1[[#This Row],[CODIGO ENSAYO]])</f>
        <v>8-1/1-1</v>
      </c>
      <c r="K407" s="2" t="str">
        <f>UPPER(TEXT(Tabla1[[#This Row],[FECHA INF]],"MMMM"))</f>
        <v>AGOSTO</v>
      </c>
      <c r="L40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0410-23</v>
      </c>
    </row>
    <row r="408" spans="1:12" hidden="1" x14ac:dyDescent="0.25">
      <c r="A408" s="52">
        <v>45168</v>
      </c>
      <c r="B408" s="27" t="s">
        <v>854</v>
      </c>
      <c r="C408" s="2" t="s">
        <v>1293</v>
      </c>
      <c r="D408" s="2">
        <v>9</v>
      </c>
      <c r="E408" s="27" t="s">
        <v>123</v>
      </c>
      <c r="F408" t="s">
        <v>15</v>
      </c>
      <c r="G408" s="47"/>
      <c r="H408" s="102"/>
      <c r="I408" s="63" t="s">
        <v>1005</v>
      </c>
      <c r="J408" t="str">
        <f>CONCATENATE(Tabla1[[#This Row],[OBRA]],"/",Tabla1[[#This Row],[CODIGO ENSAYO]])</f>
        <v>8-1/1-1</v>
      </c>
      <c r="K408" s="2" t="str">
        <f>UPPER(TEXT(Tabla1[[#This Row],[FECHA INF]],"MMMM"))</f>
        <v>AGOSTO</v>
      </c>
      <c r="L40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0411-23</v>
      </c>
    </row>
    <row r="409" spans="1:12" hidden="1" x14ac:dyDescent="0.25">
      <c r="A409" s="52">
        <v>45168</v>
      </c>
      <c r="B409" s="27" t="s">
        <v>854</v>
      </c>
      <c r="C409" s="2" t="s">
        <v>1294</v>
      </c>
      <c r="D409" s="2">
        <v>6</v>
      </c>
      <c r="E409" s="27" t="s">
        <v>123</v>
      </c>
      <c r="F409" t="s">
        <v>15</v>
      </c>
      <c r="G409" s="47"/>
      <c r="H409" s="102"/>
      <c r="I409" s="63" t="s">
        <v>1005</v>
      </c>
      <c r="J409" t="str">
        <f>CONCATENATE(Tabla1[[#This Row],[OBRA]],"/",Tabla1[[#This Row],[CODIGO ENSAYO]])</f>
        <v>8-1/1-1</v>
      </c>
      <c r="K409" s="2" t="str">
        <f>UPPER(TEXT(Tabla1[[#This Row],[FECHA INF]],"MMMM"))</f>
        <v>AGOSTO</v>
      </c>
      <c r="L40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0412-23</v>
      </c>
    </row>
    <row r="410" spans="1:12" hidden="1" x14ac:dyDescent="0.25">
      <c r="A410" s="52">
        <v>45168</v>
      </c>
      <c r="B410" s="27" t="s">
        <v>854</v>
      </c>
      <c r="C410" s="2" t="s">
        <v>1295</v>
      </c>
      <c r="D410" s="2">
        <v>3</v>
      </c>
      <c r="E410" s="27" t="s">
        <v>123</v>
      </c>
      <c r="F410" t="s">
        <v>15</v>
      </c>
      <c r="G410" s="47"/>
      <c r="H410" s="102"/>
      <c r="I410" s="63" t="s">
        <v>1005</v>
      </c>
      <c r="J410" t="str">
        <f>CONCATENATE(Tabla1[[#This Row],[OBRA]],"/",Tabla1[[#This Row],[CODIGO ENSAYO]])</f>
        <v>8-1/1-1</v>
      </c>
      <c r="K410" s="2" t="str">
        <f>UPPER(TEXT(Tabla1[[#This Row],[FECHA INF]],"MMMM"))</f>
        <v>AGOSTO</v>
      </c>
      <c r="L41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0413-23</v>
      </c>
    </row>
    <row r="411" spans="1:12" hidden="1" x14ac:dyDescent="0.25">
      <c r="A411" s="52">
        <v>45168</v>
      </c>
      <c r="B411" s="27" t="s">
        <v>854</v>
      </c>
      <c r="C411" s="2" t="s">
        <v>1296</v>
      </c>
      <c r="D411" s="2">
        <v>12</v>
      </c>
      <c r="E411" s="27" t="s">
        <v>123</v>
      </c>
      <c r="F411" t="s">
        <v>15</v>
      </c>
      <c r="G411" s="47"/>
      <c r="H411" s="102"/>
      <c r="I411" s="63" t="s">
        <v>1005</v>
      </c>
      <c r="J411" t="str">
        <f>CONCATENATE(Tabla1[[#This Row],[OBRA]],"/",Tabla1[[#This Row],[CODIGO ENSAYO]])</f>
        <v>8-1/1-1</v>
      </c>
      <c r="K411" s="2" t="str">
        <f>UPPER(TEXT(Tabla1[[#This Row],[FECHA INF]],"MMMM"))</f>
        <v>AGOSTO</v>
      </c>
      <c r="L4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0414-23</v>
      </c>
    </row>
    <row r="412" spans="1:12" hidden="1" x14ac:dyDescent="0.25">
      <c r="A412" s="52">
        <v>45168</v>
      </c>
      <c r="B412" s="27" t="s">
        <v>854</v>
      </c>
      <c r="C412" s="2" t="s">
        <v>1297</v>
      </c>
      <c r="D412" s="2">
        <v>6</v>
      </c>
      <c r="E412" s="27" t="s">
        <v>123</v>
      </c>
      <c r="F412" t="s">
        <v>15</v>
      </c>
      <c r="G412" s="47"/>
      <c r="H412" s="102"/>
      <c r="I412" s="63" t="s">
        <v>1005</v>
      </c>
      <c r="J412" t="str">
        <f>CONCATENATE(Tabla1[[#This Row],[OBRA]],"/",Tabla1[[#This Row],[CODIGO ENSAYO]])</f>
        <v>8-1/1-1</v>
      </c>
      <c r="K412" s="2" t="str">
        <f>UPPER(TEXT(Tabla1[[#This Row],[FECHA INF]],"MMMM"))</f>
        <v>AGOSTO</v>
      </c>
      <c r="L41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0415-23</v>
      </c>
    </row>
    <row r="413" spans="1:12" hidden="1" x14ac:dyDescent="0.25">
      <c r="A413" s="52">
        <v>45168</v>
      </c>
      <c r="B413" s="27" t="s">
        <v>854</v>
      </c>
      <c r="C413" s="2" t="s">
        <v>1298</v>
      </c>
      <c r="D413" s="2">
        <v>6</v>
      </c>
      <c r="E413" s="27" t="s">
        <v>123</v>
      </c>
      <c r="F413" t="s">
        <v>15</v>
      </c>
      <c r="G413" s="47"/>
      <c r="H413" s="102"/>
      <c r="I413" s="63" t="s">
        <v>1005</v>
      </c>
      <c r="J413" t="str">
        <f>CONCATENATE(Tabla1[[#This Row],[OBRA]],"/",Tabla1[[#This Row],[CODIGO ENSAYO]])</f>
        <v>8-1/1-1</v>
      </c>
      <c r="K413" s="2" t="str">
        <f>UPPER(TEXT(Tabla1[[#This Row],[FECHA INF]],"MMMM"))</f>
        <v>AGOSTO</v>
      </c>
      <c r="L41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0416-23</v>
      </c>
    </row>
    <row r="414" spans="1:12" hidden="1" x14ac:dyDescent="0.25">
      <c r="A414" s="52">
        <v>45168</v>
      </c>
      <c r="B414" s="27" t="s">
        <v>854</v>
      </c>
      <c r="C414" s="2" t="s">
        <v>1299</v>
      </c>
      <c r="D414" s="2">
        <v>12</v>
      </c>
      <c r="E414" s="27" t="s">
        <v>123</v>
      </c>
      <c r="F414" t="s">
        <v>15</v>
      </c>
      <c r="G414" s="47"/>
      <c r="H414" s="102"/>
      <c r="I414" s="63" t="s">
        <v>1005</v>
      </c>
      <c r="J414" t="str">
        <f>CONCATENATE(Tabla1[[#This Row],[OBRA]],"/",Tabla1[[#This Row],[CODIGO ENSAYO]])</f>
        <v>8-1/1-1</v>
      </c>
      <c r="K414" s="2" t="str">
        <f>UPPER(TEXT(Tabla1[[#This Row],[FECHA INF]],"MMMM"))</f>
        <v>AGOSTO</v>
      </c>
      <c r="L41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0418-23</v>
      </c>
    </row>
    <row r="415" spans="1:12" hidden="1" x14ac:dyDescent="0.25">
      <c r="A415" s="52">
        <v>45168</v>
      </c>
      <c r="B415" s="27" t="s">
        <v>854</v>
      </c>
      <c r="C415" s="2" t="s">
        <v>1300</v>
      </c>
      <c r="D415" s="2">
        <v>6</v>
      </c>
      <c r="E415" s="27" t="s">
        <v>123</v>
      </c>
      <c r="F415" t="s">
        <v>15</v>
      </c>
      <c r="G415" s="47"/>
      <c r="H415" s="102"/>
      <c r="I415" s="63" t="s">
        <v>1005</v>
      </c>
      <c r="J415" t="str">
        <f>CONCATENATE(Tabla1[[#This Row],[OBRA]],"/",Tabla1[[#This Row],[CODIGO ENSAYO]])</f>
        <v>8-1/1-1</v>
      </c>
      <c r="K415" s="2" t="str">
        <f>UPPER(TEXT(Tabla1[[#This Row],[FECHA INF]],"MMMM"))</f>
        <v>AGOSTO</v>
      </c>
      <c r="L41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0420-23</v>
      </c>
    </row>
    <row r="416" spans="1:12" hidden="1" x14ac:dyDescent="0.25">
      <c r="A416" s="52">
        <v>45168</v>
      </c>
      <c r="B416" s="27" t="s">
        <v>854</v>
      </c>
      <c r="C416" s="2" t="s">
        <v>1301</v>
      </c>
      <c r="D416" s="2">
        <v>6</v>
      </c>
      <c r="E416" s="27" t="s">
        <v>123</v>
      </c>
      <c r="F416" t="s">
        <v>15</v>
      </c>
      <c r="G416" s="47"/>
      <c r="H416" s="102"/>
      <c r="I416" s="63" t="s">
        <v>1005</v>
      </c>
      <c r="J416" t="str">
        <f>CONCATENATE(Tabla1[[#This Row],[OBRA]],"/",Tabla1[[#This Row],[CODIGO ENSAYO]])</f>
        <v>8-1/1-1</v>
      </c>
      <c r="K416" s="2" t="str">
        <f>UPPER(TEXT(Tabla1[[#This Row],[FECHA INF]],"MMMM"))</f>
        <v>AGOSTO</v>
      </c>
      <c r="L41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0422-23</v>
      </c>
    </row>
    <row r="417" spans="1:12" hidden="1" x14ac:dyDescent="0.25">
      <c r="A417" s="52">
        <v>45168</v>
      </c>
      <c r="B417" s="27" t="s">
        <v>854</v>
      </c>
      <c r="C417" s="2" t="s">
        <v>1302</v>
      </c>
      <c r="D417" s="2">
        <v>9</v>
      </c>
      <c r="E417" s="27" t="s">
        <v>123</v>
      </c>
      <c r="F417" t="s">
        <v>15</v>
      </c>
      <c r="G417" s="47"/>
      <c r="H417" s="102"/>
      <c r="I417" s="63" t="s">
        <v>1005</v>
      </c>
      <c r="J417" t="str">
        <f>CONCATENATE(Tabla1[[#This Row],[OBRA]],"/",Tabla1[[#This Row],[CODIGO ENSAYO]])</f>
        <v>8-1/1-1</v>
      </c>
      <c r="K417" s="2" t="str">
        <f>UPPER(TEXT(Tabla1[[#This Row],[FECHA INF]],"MMMM"))</f>
        <v>AGOSTO</v>
      </c>
      <c r="L41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0425-23</v>
      </c>
    </row>
    <row r="418" spans="1:12" hidden="1" x14ac:dyDescent="0.25">
      <c r="A418" s="52">
        <v>45168</v>
      </c>
      <c r="B418" s="27" t="s">
        <v>854</v>
      </c>
      <c r="C418" s="2" t="s">
        <v>1303</v>
      </c>
      <c r="D418" s="2">
        <v>6</v>
      </c>
      <c r="E418" s="27" t="s">
        <v>123</v>
      </c>
      <c r="F418" t="s">
        <v>15</v>
      </c>
      <c r="G418" s="47"/>
      <c r="H418" s="102"/>
      <c r="I418" s="63" t="s">
        <v>1005</v>
      </c>
      <c r="J418" t="str">
        <f>CONCATENATE(Tabla1[[#This Row],[OBRA]],"/",Tabla1[[#This Row],[CODIGO ENSAYO]])</f>
        <v>8-1/1-1</v>
      </c>
      <c r="K418" s="2" t="str">
        <f>UPPER(TEXT(Tabla1[[#This Row],[FECHA INF]],"MMMM"))</f>
        <v>AGOSTO</v>
      </c>
      <c r="L41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0426-23</v>
      </c>
    </row>
    <row r="419" spans="1:12" hidden="1" x14ac:dyDescent="0.25">
      <c r="A419" s="52">
        <v>45168</v>
      </c>
      <c r="B419" s="27" t="s">
        <v>854</v>
      </c>
      <c r="C419" s="2" t="s">
        <v>1304</v>
      </c>
      <c r="D419" s="2">
        <v>6</v>
      </c>
      <c r="E419" s="27" t="s">
        <v>123</v>
      </c>
      <c r="F419" t="s">
        <v>15</v>
      </c>
      <c r="G419" s="47"/>
      <c r="H419" s="102"/>
      <c r="I419" s="63" t="s">
        <v>1005</v>
      </c>
      <c r="J419" t="str">
        <f>CONCATENATE(Tabla1[[#This Row],[OBRA]],"/",Tabla1[[#This Row],[CODIGO ENSAYO]])</f>
        <v>8-1/1-1</v>
      </c>
      <c r="K419" s="2" t="str">
        <f>UPPER(TEXT(Tabla1[[#This Row],[FECHA INF]],"MMMM"))</f>
        <v>AGOSTO</v>
      </c>
      <c r="L41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0428-23</v>
      </c>
    </row>
    <row r="420" spans="1:12" hidden="1" x14ac:dyDescent="0.25">
      <c r="A420" s="52">
        <v>45168</v>
      </c>
      <c r="B420" s="27" t="s">
        <v>854</v>
      </c>
      <c r="C420" s="2" t="s">
        <v>1305</v>
      </c>
      <c r="D420" s="2">
        <v>6</v>
      </c>
      <c r="E420" s="27" t="s">
        <v>123</v>
      </c>
      <c r="F420" t="s">
        <v>15</v>
      </c>
      <c r="G420" s="47"/>
      <c r="H420" s="102"/>
      <c r="I420" s="63" t="s">
        <v>1005</v>
      </c>
      <c r="J420" t="str">
        <f>CONCATENATE(Tabla1[[#This Row],[OBRA]],"/",Tabla1[[#This Row],[CODIGO ENSAYO]])</f>
        <v>8-1/1-1</v>
      </c>
      <c r="K420" s="2" t="str">
        <f>UPPER(TEXT(Tabla1[[#This Row],[FECHA INF]],"MMMM"))</f>
        <v>AGOSTO</v>
      </c>
      <c r="L42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0429-23</v>
      </c>
    </row>
    <row r="421" spans="1:12" hidden="1" x14ac:dyDescent="0.25">
      <c r="A421" s="52">
        <v>45168</v>
      </c>
      <c r="B421" s="27" t="s">
        <v>854</v>
      </c>
      <c r="C421" s="2" t="s">
        <v>1306</v>
      </c>
      <c r="D421" s="2">
        <v>12</v>
      </c>
      <c r="E421" s="27" t="s">
        <v>123</v>
      </c>
      <c r="F421" t="s">
        <v>15</v>
      </c>
      <c r="G421" s="47"/>
      <c r="H421" s="102"/>
      <c r="I421" s="63" t="s">
        <v>1005</v>
      </c>
      <c r="J421" t="str">
        <f>CONCATENATE(Tabla1[[#This Row],[OBRA]],"/",Tabla1[[#This Row],[CODIGO ENSAYO]])</f>
        <v>8-1/1-1</v>
      </c>
      <c r="K421" s="2" t="str">
        <f>UPPER(TEXT(Tabla1[[#This Row],[FECHA INF]],"MMMM"))</f>
        <v>AGOSTO</v>
      </c>
      <c r="L42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0431-23</v>
      </c>
    </row>
    <row r="422" spans="1:12" hidden="1" x14ac:dyDescent="0.25">
      <c r="A422" s="52">
        <v>45168</v>
      </c>
      <c r="B422" s="27" t="s">
        <v>854</v>
      </c>
      <c r="C422" s="2" t="s">
        <v>1307</v>
      </c>
      <c r="D422" s="2">
        <v>15</v>
      </c>
      <c r="E422" s="27" t="s">
        <v>123</v>
      </c>
      <c r="F422" t="s">
        <v>15</v>
      </c>
      <c r="G422" s="47"/>
      <c r="H422" s="102"/>
      <c r="I422" s="63" t="s">
        <v>1005</v>
      </c>
      <c r="J422" t="str">
        <f>CONCATENATE(Tabla1[[#This Row],[OBRA]],"/",Tabla1[[#This Row],[CODIGO ENSAYO]])</f>
        <v>8-1/1-1</v>
      </c>
      <c r="K422" s="2" t="str">
        <f>UPPER(TEXT(Tabla1[[#This Row],[FECHA INF]],"MMMM"))</f>
        <v>AGOSTO</v>
      </c>
      <c r="L42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0433-23</v>
      </c>
    </row>
    <row r="423" spans="1:12" hidden="1" x14ac:dyDescent="0.25">
      <c r="A423" s="52">
        <v>45168</v>
      </c>
      <c r="B423" s="27" t="s">
        <v>854</v>
      </c>
      <c r="C423" s="2" t="s">
        <v>1308</v>
      </c>
      <c r="D423" s="2">
        <v>15</v>
      </c>
      <c r="E423" s="27" t="s">
        <v>123</v>
      </c>
      <c r="F423" t="s">
        <v>15</v>
      </c>
      <c r="G423" s="47"/>
      <c r="H423" s="102"/>
      <c r="I423" s="63" t="s">
        <v>1005</v>
      </c>
      <c r="J423" t="str">
        <f>CONCATENATE(Tabla1[[#This Row],[OBRA]],"/",Tabla1[[#This Row],[CODIGO ENSAYO]])</f>
        <v>8-1/1-1</v>
      </c>
      <c r="K423" s="2" t="str">
        <f>UPPER(TEXT(Tabla1[[#This Row],[FECHA INF]],"MMMM"))</f>
        <v>AGOSTO</v>
      </c>
      <c r="L42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0435-23</v>
      </c>
    </row>
    <row r="424" spans="1:12" hidden="1" x14ac:dyDescent="0.25">
      <c r="A424" s="52">
        <v>45168</v>
      </c>
      <c r="B424" s="27" t="s">
        <v>854</v>
      </c>
      <c r="C424" s="2" t="s">
        <v>1309</v>
      </c>
      <c r="D424" s="2">
        <v>8</v>
      </c>
      <c r="E424" s="27" t="s">
        <v>123</v>
      </c>
      <c r="F424" t="s">
        <v>15</v>
      </c>
      <c r="G424" s="47"/>
      <c r="H424" s="102"/>
      <c r="I424" s="63" t="s">
        <v>1005</v>
      </c>
      <c r="J424" t="str">
        <f>CONCATENATE(Tabla1[[#This Row],[OBRA]],"/",Tabla1[[#This Row],[CODIGO ENSAYO]])</f>
        <v>8-1/1-1</v>
      </c>
      <c r="K424" s="2" t="str">
        <f>UPPER(TEXT(Tabla1[[#This Row],[FECHA INF]],"MMMM"))</f>
        <v>AGOSTO</v>
      </c>
      <c r="L42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0438-23</v>
      </c>
    </row>
    <row r="425" spans="1:12" hidden="1" x14ac:dyDescent="0.25">
      <c r="A425" s="52">
        <v>45168</v>
      </c>
      <c r="B425" s="27" t="s">
        <v>854</v>
      </c>
      <c r="C425" s="2" t="s">
        <v>1310</v>
      </c>
      <c r="D425" s="2">
        <v>15</v>
      </c>
      <c r="E425" s="27" t="s">
        <v>123</v>
      </c>
      <c r="F425" t="s">
        <v>15</v>
      </c>
      <c r="G425" s="47"/>
      <c r="H425" s="102"/>
      <c r="I425" s="63" t="s">
        <v>1005</v>
      </c>
      <c r="J425" t="str">
        <f>CONCATENATE(Tabla1[[#This Row],[OBRA]],"/",Tabla1[[#This Row],[CODIGO ENSAYO]])</f>
        <v>8-1/1-1</v>
      </c>
      <c r="K425" s="2" t="str">
        <f>UPPER(TEXT(Tabla1[[#This Row],[FECHA INF]],"MMMM"))</f>
        <v>AGOSTO</v>
      </c>
      <c r="L42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0440-23</v>
      </c>
    </row>
    <row r="426" spans="1:12" hidden="1" x14ac:dyDescent="0.25">
      <c r="A426" s="52">
        <v>45168</v>
      </c>
      <c r="B426" s="27" t="s">
        <v>148</v>
      </c>
      <c r="C426" s="2" t="s">
        <v>1323</v>
      </c>
      <c r="D426" s="2">
        <v>1</v>
      </c>
      <c r="E426" s="27" t="s">
        <v>123</v>
      </c>
      <c r="F426" t="s">
        <v>15</v>
      </c>
      <c r="G426" s="47"/>
      <c r="H426" s="102"/>
      <c r="I426" s="63"/>
      <c r="J426" t="str">
        <f>CONCATENATE(Tabla1[[#This Row],[OBRA]],"/",Tabla1[[#This Row],[CODIGO ENSAYO]])</f>
        <v>3-1/1-1</v>
      </c>
      <c r="K426" s="2" t="str">
        <f>UPPER(TEXT(Tabla1[[#This Row],[FECHA INF]],"MMMM"))</f>
        <v>AGOSTO</v>
      </c>
      <c r="L42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0444-23</v>
      </c>
    </row>
    <row r="427" spans="1:12" hidden="1" x14ac:dyDescent="0.25">
      <c r="A427" s="52">
        <v>45168</v>
      </c>
      <c r="B427" s="27" t="s">
        <v>854</v>
      </c>
      <c r="C427" s="2" t="s">
        <v>1311</v>
      </c>
      <c r="D427" s="2">
        <v>15</v>
      </c>
      <c r="E427" s="27" t="s">
        <v>123</v>
      </c>
      <c r="F427" t="s">
        <v>15</v>
      </c>
      <c r="G427" s="47"/>
      <c r="H427" s="102"/>
      <c r="I427" s="63" t="s">
        <v>1005</v>
      </c>
      <c r="J427" t="str">
        <f>CONCATENATE(Tabla1[[#This Row],[OBRA]],"/",Tabla1[[#This Row],[CODIGO ENSAYO]])</f>
        <v>8-1/1-1</v>
      </c>
      <c r="K427" s="2" t="str">
        <f>UPPER(TEXT(Tabla1[[#This Row],[FECHA INF]],"MMMM"))</f>
        <v>AGOSTO</v>
      </c>
      <c r="L42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0445-23</v>
      </c>
    </row>
    <row r="428" spans="1:12" hidden="1" x14ac:dyDescent="0.25">
      <c r="A428" s="52">
        <v>45168</v>
      </c>
      <c r="B428" s="27" t="s">
        <v>148</v>
      </c>
      <c r="C428" s="2" t="s">
        <v>1324</v>
      </c>
      <c r="D428" s="2">
        <v>3</v>
      </c>
      <c r="E428" s="27" t="s">
        <v>123</v>
      </c>
      <c r="F428" t="s">
        <v>15</v>
      </c>
      <c r="G428" s="47"/>
      <c r="H428" s="102"/>
      <c r="I428" s="63"/>
      <c r="J428" t="str">
        <f>CONCATENATE(Tabla1[[#This Row],[OBRA]],"/",Tabla1[[#This Row],[CODIGO ENSAYO]])</f>
        <v>3-1/1-1</v>
      </c>
      <c r="K428" s="2" t="str">
        <f>UPPER(TEXT(Tabla1[[#This Row],[FECHA INF]],"MMMM"))</f>
        <v>AGOSTO</v>
      </c>
      <c r="L42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0447-23</v>
      </c>
    </row>
    <row r="429" spans="1:12" hidden="1" x14ac:dyDescent="0.25">
      <c r="A429" s="52">
        <v>45168</v>
      </c>
      <c r="B429" s="27" t="s">
        <v>854</v>
      </c>
      <c r="C429" s="2" t="s">
        <v>1312</v>
      </c>
      <c r="D429" s="2">
        <v>15</v>
      </c>
      <c r="E429" s="27" t="s">
        <v>123</v>
      </c>
      <c r="F429" t="s">
        <v>15</v>
      </c>
      <c r="G429" s="47"/>
      <c r="H429" s="102"/>
      <c r="I429" s="63" t="s">
        <v>1005</v>
      </c>
      <c r="J429" t="str">
        <f>CONCATENATE(Tabla1[[#This Row],[OBRA]],"/",Tabla1[[#This Row],[CODIGO ENSAYO]])</f>
        <v>8-1/1-1</v>
      </c>
      <c r="K429" s="2" t="str">
        <f>UPPER(TEXT(Tabla1[[#This Row],[FECHA INF]],"MMMM"))</f>
        <v>AGOSTO</v>
      </c>
      <c r="L42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0448-23</v>
      </c>
    </row>
    <row r="430" spans="1:12" hidden="1" x14ac:dyDescent="0.25">
      <c r="A430" s="52">
        <v>45168</v>
      </c>
      <c r="B430" s="27" t="s">
        <v>148</v>
      </c>
      <c r="C430" s="2" t="s">
        <v>1325</v>
      </c>
      <c r="D430" s="2">
        <v>7</v>
      </c>
      <c r="E430" s="27" t="s">
        <v>123</v>
      </c>
      <c r="F430" t="s">
        <v>15</v>
      </c>
      <c r="G430" s="47"/>
      <c r="H430" s="102"/>
      <c r="I430" s="63"/>
      <c r="J430" t="str">
        <f>CONCATENATE(Tabla1[[#This Row],[OBRA]],"/",Tabla1[[#This Row],[CODIGO ENSAYO]])</f>
        <v>3-1/1-1</v>
      </c>
      <c r="K430" s="2" t="str">
        <f>UPPER(TEXT(Tabla1[[#This Row],[FECHA INF]],"MMMM"))</f>
        <v>AGOSTO</v>
      </c>
      <c r="L43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0450-23</v>
      </c>
    </row>
    <row r="431" spans="1:12" hidden="1" x14ac:dyDescent="0.25">
      <c r="A431" s="52">
        <v>45168</v>
      </c>
      <c r="B431" s="27" t="s">
        <v>854</v>
      </c>
      <c r="C431" s="2" t="s">
        <v>1313</v>
      </c>
      <c r="D431" s="2">
        <v>15</v>
      </c>
      <c r="E431" s="27" t="s">
        <v>123</v>
      </c>
      <c r="F431" t="s">
        <v>15</v>
      </c>
      <c r="G431" s="47"/>
      <c r="H431" s="102"/>
      <c r="I431" s="63" t="s">
        <v>1005</v>
      </c>
      <c r="J431" t="str">
        <f>CONCATENATE(Tabla1[[#This Row],[OBRA]],"/",Tabla1[[#This Row],[CODIGO ENSAYO]])</f>
        <v>8-1/1-1</v>
      </c>
      <c r="K431" s="2" t="str">
        <f>UPPER(TEXT(Tabla1[[#This Row],[FECHA INF]],"MMMM"))</f>
        <v>AGOSTO</v>
      </c>
      <c r="L43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0451-23</v>
      </c>
    </row>
    <row r="432" spans="1:12" hidden="1" x14ac:dyDescent="0.25">
      <c r="A432" s="52">
        <v>45168</v>
      </c>
      <c r="B432" s="27" t="s">
        <v>148</v>
      </c>
      <c r="C432" s="2" t="s">
        <v>1320</v>
      </c>
      <c r="D432" s="2">
        <v>1</v>
      </c>
      <c r="E432" s="27" t="s">
        <v>123</v>
      </c>
      <c r="F432" t="s">
        <v>15</v>
      </c>
      <c r="G432" s="47"/>
      <c r="H432" s="102"/>
      <c r="I432" s="63"/>
      <c r="J432" t="str">
        <f>CONCATENATE(Tabla1[[#This Row],[OBRA]],"/",Tabla1[[#This Row],[CODIGO ENSAYO]])</f>
        <v>3-1/1-1</v>
      </c>
      <c r="K432" s="2" t="str">
        <f>UPPER(TEXT(Tabla1[[#This Row],[FECHA INF]],"MMMM"))</f>
        <v>AGOSTO</v>
      </c>
      <c r="L43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0454-23</v>
      </c>
    </row>
    <row r="433" spans="1:12" hidden="1" x14ac:dyDescent="0.25">
      <c r="A433" s="52">
        <v>45168</v>
      </c>
      <c r="B433" s="27" t="s">
        <v>148</v>
      </c>
      <c r="C433" s="2" t="s">
        <v>1321</v>
      </c>
      <c r="D433" s="2">
        <v>1</v>
      </c>
      <c r="E433" s="27" t="s">
        <v>123</v>
      </c>
      <c r="F433" t="s">
        <v>15</v>
      </c>
      <c r="G433" s="47"/>
      <c r="H433" s="102"/>
      <c r="I433" s="63"/>
      <c r="J433" t="str">
        <f>CONCATENATE(Tabla1[[#This Row],[OBRA]],"/",Tabla1[[#This Row],[CODIGO ENSAYO]])</f>
        <v>3-1/1-1</v>
      </c>
      <c r="K433" s="2" t="str">
        <f>UPPER(TEXT(Tabla1[[#This Row],[FECHA INF]],"MMMM"))</f>
        <v>AGOSTO</v>
      </c>
      <c r="L43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0456-23</v>
      </c>
    </row>
    <row r="434" spans="1:12" hidden="1" x14ac:dyDescent="0.25">
      <c r="A434" s="52">
        <v>45168</v>
      </c>
      <c r="B434" s="27" t="s">
        <v>148</v>
      </c>
      <c r="C434" s="2" t="s">
        <v>1322</v>
      </c>
      <c r="D434" s="2">
        <v>4</v>
      </c>
      <c r="E434" s="27" t="s">
        <v>123</v>
      </c>
      <c r="F434" t="s">
        <v>15</v>
      </c>
      <c r="G434" s="47"/>
      <c r="H434" s="102"/>
      <c r="I434" s="63"/>
      <c r="J434" t="str">
        <f>CONCATENATE(Tabla1[[#This Row],[OBRA]],"/",Tabla1[[#This Row],[CODIGO ENSAYO]])</f>
        <v>3-1/1-1</v>
      </c>
      <c r="K434" s="2" t="str">
        <f>UPPER(TEXT(Tabla1[[#This Row],[FECHA INF]],"MMMM"))</f>
        <v>AGOSTO</v>
      </c>
      <c r="L43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0458-23</v>
      </c>
    </row>
    <row r="435" spans="1:12" hidden="1" x14ac:dyDescent="0.25">
      <c r="A435" s="52">
        <v>45168</v>
      </c>
      <c r="B435" s="27" t="s">
        <v>192</v>
      </c>
      <c r="C435" s="2" t="s">
        <v>1319</v>
      </c>
      <c r="D435" s="2">
        <v>510</v>
      </c>
      <c r="E435" s="27" t="s">
        <v>182</v>
      </c>
      <c r="F435" t="s">
        <v>792</v>
      </c>
      <c r="G435" s="47"/>
      <c r="H435" s="102"/>
      <c r="I435" s="63"/>
      <c r="J435" t="str">
        <f>CONCATENATE(Tabla1[[#This Row],[OBRA]],"/",Tabla1[[#This Row],[CODIGO ENSAYO]])</f>
        <v>10-2/8-4A</v>
      </c>
      <c r="K435" s="2" t="str">
        <f>UPPER(TEXT(Tabla1[[#This Row],[FECHA INF]],"MMMM"))</f>
        <v>AGOSTO</v>
      </c>
      <c r="L43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 xml:space="preserve">1 AL 30 </v>
      </c>
    </row>
    <row r="436" spans="1:12" hidden="1" x14ac:dyDescent="0.25">
      <c r="A436" s="52">
        <v>45168</v>
      </c>
      <c r="B436" s="27" t="s">
        <v>11</v>
      </c>
      <c r="C436" s="2" t="s">
        <v>1259</v>
      </c>
      <c r="D436" s="2">
        <v>240</v>
      </c>
      <c r="E436" s="27" t="s">
        <v>179</v>
      </c>
      <c r="F436" t="s">
        <v>1260</v>
      </c>
      <c r="G436" s="47"/>
      <c r="H436" s="102"/>
      <c r="I436" s="63"/>
      <c r="J436" t="str">
        <f>CONCATENATE(Tabla1[[#This Row],[OBRA]],"/",Tabla1[[#This Row],[CODIGO ENSAYO]])</f>
        <v>13-1/8-1A</v>
      </c>
      <c r="K436" s="2" t="str">
        <f>UPPER(TEXT(Tabla1[[#This Row],[FECHA INF]],"MMMM"))</f>
        <v>AGOSTO</v>
      </c>
      <c r="L43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11a31 agosto</v>
      </c>
    </row>
    <row r="437" spans="1:12" hidden="1" x14ac:dyDescent="0.25">
      <c r="A437" s="52">
        <v>45168</v>
      </c>
      <c r="B437" s="27" t="s">
        <v>11</v>
      </c>
      <c r="C437" s="2" t="s">
        <v>1264</v>
      </c>
      <c r="D437" s="2">
        <v>1</v>
      </c>
      <c r="E437" s="27" t="s">
        <v>123</v>
      </c>
      <c r="F437" t="s">
        <v>15</v>
      </c>
      <c r="G437" s="47"/>
      <c r="H437" s="102"/>
      <c r="I437" s="63"/>
      <c r="J437" t="str">
        <f>CONCATENATE(Tabla1[[#This Row],[OBRA]],"/",Tabla1[[#This Row],[CODIGO ENSAYO]])</f>
        <v>13-1/1-1</v>
      </c>
      <c r="K437" s="2" t="str">
        <f>UPPER(TEXT(Tabla1[[#This Row],[FECHA INF]],"MMMM"))</f>
        <v>AGOSTO</v>
      </c>
      <c r="L43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417-23</v>
      </c>
    </row>
    <row r="438" spans="1:12" hidden="1" x14ac:dyDescent="0.25">
      <c r="A438" s="52">
        <v>45168</v>
      </c>
      <c r="B438" s="27" t="s">
        <v>11</v>
      </c>
      <c r="C438" s="2" t="s">
        <v>1272</v>
      </c>
      <c r="D438" s="2">
        <v>1</v>
      </c>
      <c r="E438" s="27" t="s">
        <v>137</v>
      </c>
      <c r="F438" t="s">
        <v>240</v>
      </c>
      <c r="G438" s="47"/>
      <c r="H438" s="102"/>
      <c r="I438" s="63"/>
      <c r="J438" t="str">
        <f>CONCATENATE(Tabla1[[#This Row],[OBRA]],"/",Tabla1[[#This Row],[CODIGO ENSAYO]])</f>
        <v>13-1/2-1</v>
      </c>
      <c r="K438" s="2" t="str">
        <f>UPPER(TEXT(Tabla1[[#This Row],[FECHA INF]],"MMMM"))</f>
        <v>AGOSTO</v>
      </c>
      <c r="L43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419-23</v>
      </c>
    </row>
    <row r="439" spans="1:12" hidden="1" x14ac:dyDescent="0.25">
      <c r="A439" s="52">
        <v>45168</v>
      </c>
      <c r="B439" s="27" t="s">
        <v>11</v>
      </c>
      <c r="C439" s="2" t="s">
        <v>1272</v>
      </c>
      <c r="D439" s="2">
        <v>1</v>
      </c>
      <c r="E439" s="27" t="s">
        <v>138</v>
      </c>
      <c r="F439" t="s">
        <v>23</v>
      </c>
      <c r="G439" s="47"/>
      <c r="H439" s="102"/>
      <c r="I439" s="63"/>
      <c r="J439" t="str">
        <f>CONCATENATE(Tabla1[[#This Row],[OBRA]],"/",Tabla1[[#This Row],[CODIGO ENSAYO]])</f>
        <v>13-1/2-2</v>
      </c>
      <c r="K439" s="2" t="str">
        <f>UPPER(TEXT(Tabla1[[#This Row],[FECHA INF]],"MMMM"))</f>
        <v>AGOSTO</v>
      </c>
      <c r="L43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419-23</v>
      </c>
    </row>
    <row r="440" spans="1:12" hidden="1" x14ac:dyDescent="0.25">
      <c r="A440" s="52">
        <v>45168</v>
      </c>
      <c r="B440" s="27" t="s">
        <v>11</v>
      </c>
      <c r="C440" s="2" t="s">
        <v>1272</v>
      </c>
      <c r="D440" s="2">
        <v>1</v>
      </c>
      <c r="E440" s="27" t="s">
        <v>139</v>
      </c>
      <c r="F440" t="s">
        <v>468</v>
      </c>
      <c r="G440" s="47"/>
      <c r="H440" s="102"/>
      <c r="I440" s="63"/>
      <c r="J440" t="str">
        <f>CONCATENATE(Tabla1[[#This Row],[OBRA]],"/",Tabla1[[#This Row],[CODIGO ENSAYO]])</f>
        <v>13-1/2-3</v>
      </c>
      <c r="K440" s="2" t="str">
        <f>UPPER(TEXT(Tabla1[[#This Row],[FECHA INF]],"MMMM"))</f>
        <v>AGOSTO</v>
      </c>
      <c r="L44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419-23</v>
      </c>
    </row>
    <row r="441" spans="1:12" hidden="1" x14ac:dyDescent="0.25">
      <c r="A441" s="52">
        <v>45168</v>
      </c>
      <c r="B441" s="27" t="s">
        <v>11</v>
      </c>
      <c r="C441" s="2" t="s">
        <v>1265</v>
      </c>
      <c r="D441" s="2">
        <v>3</v>
      </c>
      <c r="E441" s="27" t="s">
        <v>123</v>
      </c>
      <c r="F441" t="s">
        <v>15</v>
      </c>
      <c r="G441" s="47"/>
      <c r="H441" s="102"/>
      <c r="I441" s="63"/>
      <c r="J441" t="str">
        <f>CONCATENATE(Tabla1[[#This Row],[OBRA]],"/",Tabla1[[#This Row],[CODIGO ENSAYO]])</f>
        <v>13-1/1-1</v>
      </c>
      <c r="K441" s="2" t="str">
        <f>UPPER(TEXT(Tabla1[[#This Row],[FECHA INF]],"MMMM"))</f>
        <v>AGOSTO</v>
      </c>
      <c r="L44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421-23</v>
      </c>
    </row>
    <row r="442" spans="1:12" hidden="1" x14ac:dyDescent="0.25">
      <c r="A442" s="52">
        <v>45168</v>
      </c>
      <c r="B442" s="27" t="s">
        <v>11</v>
      </c>
      <c r="C442" s="2" t="s">
        <v>1266</v>
      </c>
      <c r="D442" s="2">
        <v>1</v>
      </c>
      <c r="E442" s="27" t="s">
        <v>123</v>
      </c>
      <c r="F442" t="s">
        <v>15</v>
      </c>
      <c r="G442" s="47"/>
      <c r="H442" s="102"/>
      <c r="I442" s="63"/>
      <c r="J442" t="str">
        <f>CONCATENATE(Tabla1[[#This Row],[OBRA]],"/",Tabla1[[#This Row],[CODIGO ENSAYO]])</f>
        <v>13-1/1-1</v>
      </c>
      <c r="K442" s="2" t="str">
        <f>UPPER(TEXT(Tabla1[[#This Row],[FECHA INF]],"MMMM"))</f>
        <v>AGOSTO</v>
      </c>
      <c r="L44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423-23</v>
      </c>
    </row>
    <row r="443" spans="1:12" hidden="1" x14ac:dyDescent="0.25">
      <c r="A443" s="52">
        <v>45168</v>
      </c>
      <c r="B443" s="27" t="s">
        <v>11</v>
      </c>
      <c r="C443" s="2" t="s">
        <v>1267</v>
      </c>
      <c r="D443" s="2">
        <v>4</v>
      </c>
      <c r="E443" s="27" t="s">
        <v>123</v>
      </c>
      <c r="F443" t="s">
        <v>15</v>
      </c>
      <c r="G443" s="47"/>
      <c r="H443" s="102"/>
      <c r="I443" s="63"/>
      <c r="J443" t="str">
        <f>CONCATENATE(Tabla1[[#This Row],[OBRA]],"/",Tabla1[[#This Row],[CODIGO ENSAYO]])</f>
        <v>13-1/1-1</v>
      </c>
      <c r="K443" s="2" t="str">
        <f>UPPER(TEXT(Tabla1[[#This Row],[FECHA INF]],"MMMM"))</f>
        <v>AGOSTO</v>
      </c>
      <c r="L44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424-23</v>
      </c>
    </row>
    <row r="444" spans="1:12" hidden="1" x14ac:dyDescent="0.25">
      <c r="A444" s="52">
        <v>45168</v>
      </c>
      <c r="B444" s="27" t="s">
        <v>11</v>
      </c>
      <c r="C444" s="2" t="s">
        <v>1268</v>
      </c>
      <c r="D444" s="2">
        <v>2</v>
      </c>
      <c r="E444" s="27" t="s">
        <v>123</v>
      </c>
      <c r="F444" t="s">
        <v>15</v>
      </c>
      <c r="G444" s="47"/>
      <c r="H444" s="102"/>
      <c r="I444" s="63"/>
      <c r="J444" t="str">
        <f>CONCATENATE(Tabla1[[#This Row],[OBRA]],"/",Tabla1[[#This Row],[CODIGO ENSAYO]])</f>
        <v>13-1/1-1</v>
      </c>
      <c r="K444" s="2" t="str">
        <f>UPPER(TEXT(Tabla1[[#This Row],[FECHA INF]],"MMMM"))</f>
        <v>AGOSTO</v>
      </c>
      <c r="L44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427-23</v>
      </c>
    </row>
    <row r="445" spans="1:12" hidden="1" x14ac:dyDescent="0.25">
      <c r="A445" s="52">
        <v>45168</v>
      </c>
      <c r="B445" s="27" t="s">
        <v>11</v>
      </c>
      <c r="C445" s="2" t="s">
        <v>1269</v>
      </c>
      <c r="D445" s="2">
        <v>2</v>
      </c>
      <c r="E445" s="27" t="s">
        <v>123</v>
      </c>
      <c r="F445" t="s">
        <v>15</v>
      </c>
      <c r="G445" s="47"/>
      <c r="H445" s="102"/>
      <c r="I445" s="63"/>
      <c r="J445" t="str">
        <f>CONCATENATE(Tabla1[[#This Row],[OBRA]],"/",Tabla1[[#This Row],[CODIGO ENSAYO]])</f>
        <v>13-1/1-1</v>
      </c>
      <c r="K445" s="2" t="str">
        <f>UPPER(TEXT(Tabla1[[#This Row],[FECHA INF]],"MMMM"))</f>
        <v>AGOSTO</v>
      </c>
      <c r="L44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430-23</v>
      </c>
    </row>
    <row r="446" spans="1:12" hidden="1" x14ac:dyDescent="0.25">
      <c r="A446" s="52">
        <v>45168</v>
      </c>
      <c r="B446" s="27" t="s">
        <v>11</v>
      </c>
      <c r="C446" s="2" t="s">
        <v>1270</v>
      </c>
      <c r="D446" s="2">
        <v>1</v>
      </c>
      <c r="E446" s="27" t="s">
        <v>123</v>
      </c>
      <c r="F446" t="s">
        <v>15</v>
      </c>
      <c r="G446" s="47"/>
      <c r="H446" s="102"/>
      <c r="I446" s="63"/>
      <c r="J446" t="str">
        <f>CONCATENATE(Tabla1[[#This Row],[OBRA]],"/",Tabla1[[#This Row],[CODIGO ENSAYO]])</f>
        <v>13-1/1-1</v>
      </c>
      <c r="K446" s="2" t="str">
        <f>UPPER(TEXT(Tabla1[[#This Row],[FECHA INF]],"MMMM"))</f>
        <v>AGOSTO</v>
      </c>
      <c r="L44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432-23</v>
      </c>
    </row>
    <row r="447" spans="1:12" hidden="1" x14ac:dyDescent="0.25">
      <c r="A447" s="52">
        <v>45168</v>
      </c>
      <c r="B447" s="27" t="s">
        <v>11</v>
      </c>
      <c r="C447" s="2" t="s">
        <v>1271</v>
      </c>
      <c r="D447" s="2">
        <v>5</v>
      </c>
      <c r="E447" s="27" t="s">
        <v>123</v>
      </c>
      <c r="F447" t="s">
        <v>15</v>
      </c>
      <c r="G447" s="47"/>
      <c r="H447" s="102"/>
      <c r="I447" s="63"/>
      <c r="J447" t="str">
        <f>CONCATENATE(Tabla1[[#This Row],[OBRA]],"/",Tabla1[[#This Row],[CODIGO ENSAYO]])</f>
        <v>13-1/1-1</v>
      </c>
      <c r="K447" s="2" t="str">
        <f>UPPER(TEXT(Tabla1[[#This Row],[FECHA INF]],"MMMM"))</f>
        <v>AGOSTO</v>
      </c>
      <c r="L44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434-23</v>
      </c>
    </row>
    <row r="448" spans="1:12" hidden="1" x14ac:dyDescent="0.25">
      <c r="A448" s="52">
        <v>45168</v>
      </c>
      <c r="B448" s="27" t="s">
        <v>11</v>
      </c>
      <c r="C448" s="2" t="s">
        <v>1262</v>
      </c>
      <c r="D448" s="2">
        <v>3</v>
      </c>
      <c r="E448" s="27" t="s">
        <v>188</v>
      </c>
      <c r="F448" t="s">
        <v>62</v>
      </c>
      <c r="G448" s="47"/>
      <c r="H448" s="102"/>
      <c r="I448" s="63"/>
      <c r="J448" t="str">
        <f>CONCATENATE(Tabla1[[#This Row],[OBRA]],"/",Tabla1[[#This Row],[CODIGO ENSAYO]])</f>
        <v>13-1/8-10V</v>
      </c>
      <c r="K448" s="2" t="str">
        <f>UPPER(TEXT(Tabla1[[#This Row],[FECHA INF]],"MMMM"))</f>
        <v>AGOSTO</v>
      </c>
      <c r="L44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Remision 0516</v>
      </c>
    </row>
    <row r="449" spans="1:12" hidden="1" x14ac:dyDescent="0.25">
      <c r="A449" s="52">
        <v>45168</v>
      </c>
      <c r="B449" s="27" t="s">
        <v>11</v>
      </c>
      <c r="C449" s="2" t="s">
        <v>1261</v>
      </c>
      <c r="D449" s="2">
        <v>2</v>
      </c>
      <c r="E449" s="27" t="s">
        <v>190</v>
      </c>
      <c r="F449" t="s">
        <v>64</v>
      </c>
      <c r="G449" s="47"/>
      <c r="H449" s="102"/>
      <c r="I449" s="63"/>
      <c r="J449" t="str">
        <f>CONCATENATE(Tabla1[[#This Row],[OBRA]],"/",Tabla1[[#This Row],[CODIGO ENSAYO]])</f>
        <v>13-1/8-12V</v>
      </c>
      <c r="K449" s="2" t="str">
        <f>UPPER(TEXT(Tabla1[[#This Row],[FECHA INF]],"MMMM"))</f>
        <v>AGOSTO</v>
      </c>
      <c r="L44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Remision 0519</v>
      </c>
    </row>
    <row r="450" spans="1:12" hidden="1" x14ac:dyDescent="0.25">
      <c r="A450" s="52">
        <v>45168</v>
      </c>
      <c r="B450" s="27" t="s">
        <v>11</v>
      </c>
      <c r="C450" s="2" t="s">
        <v>1261</v>
      </c>
      <c r="D450" s="2">
        <v>2</v>
      </c>
      <c r="E450" s="27" t="s">
        <v>741</v>
      </c>
      <c r="F450" t="s">
        <v>742</v>
      </c>
      <c r="G450" s="47"/>
      <c r="H450" s="102"/>
      <c r="I450" s="63"/>
      <c r="J450" t="str">
        <f>CONCATENATE(Tabla1[[#This Row],[OBRA]],"/",Tabla1[[#This Row],[CODIGO ENSAYO]])</f>
        <v>13-1/8-15V</v>
      </c>
      <c r="K450" s="2" t="str">
        <f>UPPER(TEXT(Tabla1[[#This Row],[FECHA INF]],"MMMM"))</f>
        <v>AGOSTO</v>
      </c>
      <c r="L45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Remision 0519</v>
      </c>
    </row>
    <row r="451" spans="1:12" hidden="1" x14ac:dyDescent="0.25">
      <c r="A451" s="52">
        <v>45199</v>
      </c>
      <c r="B451" s="27" t="s">
        <v>192</v>
      </c>
      <c r="C451" s="2" t="s">
        <v>1360</v>
      </c>
      <c r="D451" s="2">
        <v>1</v>
      </c>
      <c r="E451" s="27" t="s">
        <v>175</v>
      </c>
      <c r="F451" t="s">
        <v>390</v>
      </c>
      <c r="G451" s="47"/>
      <c r="H451" s="102"/>
      <c r="I451" s="63"/>
      <c r="J451" t="str">
        <f>CONCATENATE(Tabla1[[#This Row],[OBRA]],"/",Tabla1[[#This Row],[CODIGO ENSAYO]])</f>
        <v>10-2/7-1</v>
      </c>
      <c r="K451" s="2" t="str">
        <f>UPPER(TEXT(Tabla1[[#This Row],[FECHA INF]],"MMMM"))</f>
        <v>SEPTIEMBRE</v>
      </c>
      <c r="L45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(08/09/2023)</v>
      </c>
    </row>
    <row r="452" spans="1:12" hidden="1" x14ac:dyDescent="0.25">
      <c r="A452" s="52">
        <v>45199</v>
      </c>
      <c r="B452" s="27" t="s">
        <v>11</v>
      </c>
      <c r="C452" s="2" t="s">
        <v>1349</v>
      </c>
      <c r="D452" s="2">
        <v>2</v>
      </c>
      <c r="E452" s="27" t="s">
        <v>175</v>
      </c>
      <c r="F452" t="s">
        <v>390</v>
      </c>
      <c r="G452" s="47"/>
      <c r="H452" s="102"/>
      <c r="I452" s="63"/>
      <c r="J452" t="str">
        <f>CONCATENATE(Tabla1[[#This Row],[OBRA]],"/",Tabla1[[#This Row],[CODIGO ENSAYO]])</f>
        <v>13-1/7-1</v>
      </c>
      <c r="K452" s="2" t="str">
        <f>UPPER(TEXT(Tabla1[[#This Row],[FECHA INF]],"MMMM"))</f>
        <v>SEPTIEMBRE</v>
      </c>
      <c r="L45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(2023-09-06) (2023-09-13)</v>
      </c>
    </row>
    <row r="453" spans="1:12" hidden="1" x14ac:dyDescent="0.25">
      <c r="A453" s="52">
        <v>45199</v>
      </c>
      <c r="B453" s="27" t="s">
        <v>11</v>
      </c>
      <c r="C453" s="2" t="s">
        <v>1350</v>
      </c>
      <c r="D453" s="2">
        <v>343</v>
      </c>
      <c r="E453" s="27" t="s">
        <v>1351</v>
      </c>
      <c r="F453" t="s">
        <v>1260</v>
      </c>
      <c r="G453" s="47"/>
      <c r="H453" s="102"/>
      <c r="I453" s="63"/>
      <c r="J453" t="str">
        <f>CONCATENATE(Tabla1[[#This Row],[OBRA]],"/",Tabla1[[#This Row],[CODIGO ENSAYO]])</f>
        <v>13-1/8-1a</v>
      </c>
      <c r="K453" s="2" t="str">
        <f>UPPER(TEXT(Tabla1[[#This Row],[FECHA INF]],"MMMM"))</f>
        <v>SEPTIEMBRE</v>
      </c>
      <c r="L45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30/9/2026</v>
      </c>
    </row>
    <row r="454" spans="1:12" hidden="1" x14ac:dyDescent="0.25">
      <c r="A454" s="52">
        <v>45199</v>
      </c>
      <c r="B454" s="27" t="s">
        <v>11</v>
      </c>
      <c r="C454" s="2" t="s">
        <v>1326</v>
      </c>
      <c r="D454" s="2">
        <v>3</v>
      </c>
      <c r="E454" s="27" t="s">
        <v>123</v>
      </c>
      <c r="F454" t="s">
        <v>15</v>
      </c>
      <c r="G454" s="47"/>
      <c r="H454" s="102"/>
      <c r="I454" s="63"/>
      <c r="J454" t="str">
        <f>CONCATENATE(Tabla1[[#This Row],[OBRA]],"/",Tabla1[[#This Row],[CODIGO ENSAYO]])</f>
        <v>13-1/1-1</v>
      </c>
      <c r="K454" s="2" t="str">
        <f>UPPER(TEXT(Tabla1[[#This Row],[FECHA INF]],"MMMM"))</f>
        <v>SEPTIEMBRE</v>
      </c>
      <c r="L45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0436-23</v>
      </c>
    </row>
    <row r="455" spans="1:12" hidden="1" x14ac:dyDescent="0.25">
      <c r="A455" s="52">
        <v>45199</v>
      </c>
      <c r="B455" s="27" t="s">
        <v>11</v>
      </c>
      <c r="C455" s="2" t="s">
        <v>1327</v>
      </c>
      <c r="D455" s="2">
        <v>1</v>
      </c>
      <c r="E455" s="27" t="s">
        <v>123</v>
      </c>
      <c r="F455" t="s">
        <v>15</v>
      </c>
      <c r="G455" s="47"/>
      <c r="H455" s="102"/>
      <c r="I455" s="63"/>
      <c r="J455" t="str">
        <f>CONCATENATE(Tabla1[[#This Row],[OBRA]],"/",Tabla1[[#This Row],[CODIGO ENSAYO]])</f>
        <v>13-1/1-1</v>
      </c>
      <c r="K455" s="2" t="str">
        <f>UPPER(TEXT(Tabla1[[#This Row],[FECHA INF]],"MMMM"))</f>
        <v>SEPTIEMBRE</v>
      </c>
      <c r="L45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0439-23</v>
      </c>
    </row>
    <row r="456" spans="1:12" hidden="1" x14ac:dyDescent="0.25">
      <c r="A456" s="52">
        <v>45199</v>
      </c>
      <c r="B456" s="27" t="s">
        <v>11</v>
      </c>
      <c r="C456" s="2" t="s">
        <v>1328</v>
      </c>
      <c r="D456" s="2">
        <v>3</v>
      </c>
      <c r="E456" s="27" t="s">
        <v>123</v>
      </c>
      <c r="F456" t="s">
        <v>15</v>
      </c>
      <c r="G456" s="47"/>
      <c r="H456" s="102"/>
      <c r="I456" s="63"/>
      <c r="J456" t="str">
        <f>CONCATENATE(Tabla1[[#This Row],[OBRA]],"/",Tabla1[[#This Row],[CODIGO ENSAYO]])</f>
        <v>13-1/1-1</v>
      </c>
      <c r="K456" s="2" t="str">
        <f>UPPER(TEXT(Tabla1[[#This Row],[FECHA INF]],"MMMM"))</f>
        <v>SEPTIEMBRE</v>
      </c>
      <c r="L45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0441-23</v>
      </c>
    </row>
    <row r="457" spans="1:12" hidden="1" x14ac:dyDescent="0.25">
      <c r="A457" s="52">
        <v>45199</v>
      </c>
      <c r="B457" s="27" t="s">
        <v>11</v>
      </c>
      <c r="C457" s="2" t="s">
        <v>1329</v>
      </c>
      <c r="D457" s="2">
        <v>2</v>
      </c>
      <c r="E457" s="27" t="s">
        <v>123</v>
      </c>
      <c r="F457" t="s">
        <v>15</v>
      </c>
      <c r="G457" s="47"/>
      <c r="H457" s="102"/>
      <c r="I457" s="63"/>
      <c r="J457" t="str">
        <f>CONCATENATE(Tabla1[[#This Row],[OBRA]],"/",Tabla1[[#This Row],[CODIGO ENSAYO]])</f>
        <v>13-1/1-1</v>
      </c>
      <c r="K457" s="2" t="str">
        <f>UPPER(TEXT(Tabla1[[#This Row],[FECHA INF]],"MMMM"))</f>
        <v>SEPTIEMBRE</v>
      </c>
      <c r="L45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0446-23</v>
      </c>
    </row>
    <row r="458" spans="1:12" hidden="1" x14ac:dyDescent="0.25">
      <c r="A458" s="52">
        <v>45199</v>
      </c>
      <c r="B458" s="27" t="s">
        <v>11</v>
      </c>
      <c r="C458" s="2" t="s">
        <v>1330</v>
      </c>
      <c r="D458" s="2">
        <v>3</v>
      </c>
      <c r="E458" s="27" t="s">
        <v>123</v>
      </c>
      <c r="F458" t="s">
        <v>15</v>
      </c>
      <c r="G458" s="47"/>
      <c r="H458" s="102"/>
      <c r="I458" s="63"/>
      <c r="J458" t="str">
        <f>CONCATENATE(Tabla1[[#This Row],[OBRA]],"/",Tabla1[[#This Row],[CODIGO ENSAYO]])</f>
        <v>13-1/1-1</v>
      </c>
      <c r="K458" s="2" t="str">
        <f>UPPER(TEXT(Tabla1[[#This Row],[FECHA INF]],"MMMM"))</f>
        <v>SEPTIEMBRE</v>
      </c>
      <c r="L45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0449-23</v>
      </c>
    </row>
    <row r="459" spans="1:12" hidden="1" x14ac:dyDescent="0.25">
      <c r="A459" s="52">
        <v>45199</v>
      </c>
      <c r="B459" s="27" t="s">
        <v>11</v>
      </c>
      <c r="C459" s="2" t="s">
        <v>1331</v>
      </c>
      <c r="D459" s="2">
        <v>2</v>
      </c>
      <c r="E459" s="27" t="s">
        <v>123</v>
      </c>
      <c r="F459" t="s">
        <v>15</v>
      </c>
      <c r="G459" s="47"/>
      <c r="H459" s="102"/>
      <c r="I459" s="63"/>
      <c r="J459" t="str">
        <f>CONCATENATE(Tabla1[[#This Row],[OBRA]],"/",Tabla1[[#This Row],[CODIGO ENSAYO]])</f>
        <v>13-1/1-1</v>
      </c>
      <c r="K459" s="2" t="str">
        <f>UPPER(TEXT(Tabla1[[#This Row],[FECHA INF]],"MMMM"))</f>
        <v>SEPTIEMBRE</v>
      </c>
      <c r="L45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0452-23</v>
      </c>
    </row>
    <row r="460" spans="1:12" hidden="1" x14ac:dyDescent="0.25">
      <c r="A460" s="52">
        <v>45199</v>
      </c>
      <c r="B460" s="27" t="s">
        <v>192</v>
      </c>
      <c r="C460" s="2" t="s">
        <v>1356</v>
      </c>
      <c r="D460" s="2">
        <v>2</v>
      </c>
      <c r="E460" s="27" t="s">
        <v>141</v>
      </c>
      <c r="F460" t="s">
        <v>437</v>
      </c>
      <c r="G460" s="47"/>
      <c r="H460" s="102"/>
      <c r="I460" s="63"/>
      <c r="J460" t="str">
        <f>CONCATENATE(Tabla1[[#This Row],[OBRA]],"/",Tabla1[[#This Row],[CODIGO ENSAYO]])</f>
        <v>10-2/2-5</v>
      </c>
      <c r="K460" s="2" t="str">
        <f>UPPER(TEXT(Tabla1[[#This Row],[FECHA INF]],"MMMM"))</f>
        <v>SEPTIEMBRE</v>
      </c>
      <c r="L46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0453-23</v>
      </c>
    </row>
    <row r="461" spans="1:12" hidden="1" x14ac:dyDescent="0.25">
      <c r="A461" s="52">
        <v>45199</v>
      </c>
      <c r="B461" s="27" t="s">
        <v>11</v>
      </c>
      <c r="C461" s="2" t="s">
        <v>1332</v>
      </c>
      <c r="D461" s="2">
        <v>4</v>
      </c>
      <c r="E461" s="27" t="s">
        <v>123</v>
      </c>
      <c r="F461" t="s">
        <v>15</v>
      </c>
      <c r="G461" s="47"/>
      <c r="H461" s="102"/>
      <c r="I461" s="63"/>
      <c r="J461" t="str">
        <f>CONCATENATE(Tabla1[[#This Row],[OBRA]],"/",Tabla1[[#This Row],[CODIGO ENSAYO]])</f>
        <v>13-1/1-1</v>
      </c>
      <c r="K461" s="2" t="str">
        <f>UPPER(TEXT(Tabla1[[#This Row],[FECHA INF]],"MMMM"))</f>
        <v>SEPTIEMBRE</v>
      </c>
      <c r="L46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0460-23</v>
      </c>
    </row>
    <row r="462" spans="1:12" hidden="1" x14ac:dyDescent="0.25">
      <c r="A462" s="52">
        <v>45199</v>
      </c>
      <c r="B462" s="27" t="s">
        <v>11</v>
      </c>
      <c r="C462" s="2" t="s">
        <v>1333</v>
      </c>
      <c r="D462" s="2">
        <v>2</v>
      </c>
      <c r="E462" s="27" t="s">
        <v>123</v>
      </c>
      <c r="F462" t="s">
        <v>15</v>
      </c>
      <c r="G462" s="47"/>
      <c r="H462" s="102"/>
      <c r="I462" s="63"/>
      <c r="J462" t="str">
        <f>CONCATENATE(Tabla1[[#This Row],[OBRA]],"/",Tabla1[[#This Row],[CODIGO ENSAYO]])</f>
        <v>13-1/1-1</v>
      </c>
      <c r="K462" s="2" t="str">
        <f>UPPER(TEXT(Tabla1[[#This Row],[FECHA INF]],"MMMM"))</f>
        <v>SEPTIEMBRE</v>
      </c>
      <c r="L46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0462-23</v>
      </c>
    </row>
    <row r="463" spans="1:12" hidden="1" x14ac:dyDescent="0.25">
      <c r="A463" s="52">
        <v>45199</v>
      </c>
      <c r="B463" s="27" t="s">
        <v>11</v>
      </c>
      <c r="C463" s="2" t="s">
        <v>1334</v>
      </c>
      <c r="D463" s="2">
        <v>9</v>
      </c>
      <c r="E463" s="27" t="s">
        <v>123</v>
      </c>
      <c r="F463" t="s">
        <v>15</v>
      </c>
      <c r="G463" s="47"/>
      <c r="H463" s="102"/>
      <c r="I463" s="63"/>
      <c r="J463" t="str">
        <f>CONCATENATE(Tabla1[[#This Row],[OBRA]],"/",Tabla1[[#This Row],[CODIGO ENSAYO]])</f>
        <v>13-1/1-1</v>
      </c>
      <c r="K463" s="2" t="str">
        <f>UPPER(TEXT(Tabla1[[#This Row],[FECHA INF]],"MMMM"))</f>
        <v>SEPTIEMBRE</v>
      </c>
      <c r="L46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0464-23</v>
      </c>
    </row>
    <row r="464" spans="1:12" hidden="1" x14ac:dyDescent="0.25">
      <c r="A464" s="52">
        <v>45199</v>
      </c>
      <c r="B464" s="27" t="s">
        <v>11</v>
      </c>
      <c r="C464" s="2" t="s">
        <v>1335</v>
      </c>
      <c r="D464" s="2">
        <v>5</v>
      </c>
      <c r="E464" s="27" t="s">
        <v>123</v>
      </c>
      <c r="F464" t="s">
        <v>15</v>
      </c>
      <c r="G464" s="47"/>
      <c r="H464" s="102"/>
      <c r="I464" s="63"/>
      <c r="J464" t="str">
        <f>CONCATENATE(Tabla1[[#This Row],[OBRA]],"/",Tabla1[[#This Row],[CODIGO ENSAYO]])</f>
        <v>13-1/1-1</v>
      </c>
      <c r="K464" s="2" t="str">
        <f>UPPER(TEXT(Tabla1[[#This Row],[FECHA INF]],"MMMM"))</f>
        <v>SEPTIEMBRE</v>
      </c>
      <c r="L46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0466-23</v>
      </c>
    </row>
    <row r="465" spans="1:12" hidden="1" x14ac:dyDescent="0.25">
      <c r="A465" s="52">
        <v>45199</v>
      </c>
      <c r="B465" s="27" t="s">
        <v>11</v>
      </c>
      <c r="C465" s="2" t="s">
        <v>1336</v>
      </c>
      <c r="D465" s="2">
        <v>9</v>
      </c>
      <c r="E465" s="27" t="s">
        <v>123</v>
      </c>
      <c r="F465" t="s">
        <v>15</v>
      </c>
      <c r="G465" s="47"/>
      <c r="H465" s="102"/>
      <c r="I465" s="63"/>
      <c r="J465" t="str">
        <f>CONCATENATE(Tabla1[[#This Row],[OBRA]],"/",Tabla1[[#This Row],[CODIGO ENSAYO]])</f>
        <v>13-1/1-1</v>
      </c>
      <c r="K465" s="2" t="str">
        <f>UPPER(TEXT(Tabla1[[#This Row],[FECHA INF]],"MMMM"))</f>
        <v>SEPTIEMBRE</v>
      </c>
      <c r="L46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0468-23</v>
      </c>
    </row>
    <row r="466" spans="1:12" hidden="1" x14ac:dyDescent="0.25">
      <c r="A466" s="52">
        <v>45199</v>
      </c>
      <c r="B466" s="27" t="s">
        <v>11</v>
      </c>
      <c r="C466" s="2" t="s">
        <v>1337</v>
      </c>
      <c r="D466" s="2">
        <v>2</v>
      </c>
      <c r="E466" s="27" t="s">
        <v>123</v>
      </c>
      <c r="F466" t="s">
        <v>15</v>
      </c>
      <c r="G466" s="47"/>
      <c r="H466" s="102"/>
      <c r="I466" s="63"/>
      <c r="J466" t="str">
        <f>CONCATENATE(Tabla1[[#This Row],[OBRA]],"/",Tabla1[[#This Row],[CODIGO ENSAYO]])</f>
        <v>13-1/1-1</v>
      </c>
      <c r="K466" s="2" t="str">
        <f>UPPER(TEXT(Tabla1[[#This Row],[FECHA INF]],"MMMM"))</f>
        <v>SEPTIEMBRE</v>
      </c>
      <c r="L46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0470-23</v>
      </c>
    </row>
    <row r="467" spans="1:12" hidden="1" x14ac:dyDescent="0.25">
      <c r="A467" s="52">
        <v>45199</v>
      </c>
      <c r="B467" s="27" t="s">
        <v>11</v>
      </c>
      <c r="C467" s="2" t="s">
        <v>1338</v>
      </c>
      <c r="D467" s="2">
        <v>3</v>
      </c>
      <c r="E467" s="27" t="s">
        <v>123</v>
      </c>
      <c r="F467" t="s">
        <v>15</v>
      </c>
      <c r="G467" s="47"/>
      <c r="H467" s="102"/>
      <c r="I467" s="63"/>
      <c r="J467" t="str">
        <f>CONCATENATE(Tabla1[[#This Row],[OBRA]],"/",Tabla1[[#This Row],[CODIGO ENSAYO]])</f>
        <v>13-1/1-1</v>
      </c>
      <c r="K467" s="2" t="str">
        <f>UPPER(TEXT(Tabla1[[#This Row],[FECHA INF]],"MMMM"))</f>
        <v>SEPTIEMBRE</v>
      </c>
      <c r="L46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0472-23</v>
      </c>
    </row>
    <row r="468" spans="1:12" hidden="1" x14ac:dyDescent="0.25">
      <c r="A468" s="52">
        <v>45199</v>
      </c>
      <c r="B468" s="27" t="s">
        <v>11</v>
      </c>
      <c r="C468" s="2" t="s">
        <v>1339</v>
      </c>
      <c r="D468" s="2">
        <v>4</v>
      </c>
      <c r="E468" s="27" t="s">
        <v>123</v>
      </c>
      <c r="F468" t="s">
        <v>15</v>
      </c>
      <c r="G468" s="47"/>
      <c r="H468" s="102"/>
      <c r="I468" s="63"/>
      <c r="J468" t="str">
        <f>CONCATENATE(Tabla1[[#This Row],[OBRA]],"/",Tabla1[[#This Row],[CODIGO ENSAYO]])</f>
        <v>13-1/1-1</v>
      </c>
      <c r="K468" s="2" t="str">
        <f>UPPER(TEXT(Tabla1[[#This Row],[FECHA INF]],"MMMM"))</f>
        <v>SEPTIEMBRE</v>
      </c>
      <c r="L46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0474-23</v>
      </c>
    </row>
    <row r="469" spans="1:12" hidden="1" x14ac:dyDescent="0.25">
      <c r="A469" s="52">
        <v>45199</v>
      </c>
      <c r="B469" s="27" t="s">
        <v>11</v>
      </c>
      <c r="C469" s="2" t="s">
        <v>1340</v>
      </c>
      <c r="D469" s="2">
        <v>5</v>
      </c>
      <c r="E469" s="27" t="s">
        <v>123</v>
      </c>
      <c r="F469" t="s">
        <v>15</v>
      </c>
      <c r="G469" s="47"/>
      <c r="H469" s="102"/>
      <c r="I469" s="63"/>
      <c r="J469" t="str">
        <f>CONCATENATE(Tabla1[[#This Row],[OBRA]],"/",Tabla1[[#This Row],[CODIGO ENSAYO]])</f>
        <v>13-1/1-1</v>
      </c>
      <c r="K469" s="2" t="str">
        <f>UPPER(TEXT(Tabla1[[#This Row],[FECHA INF]],"MMMM"))</f>
        <v>SEPTIEMBRE</v>
      </c>
      <c r="L46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0476-23</v>
      </c>
    </row>
    <row r="470" spans="1:12" hidden="1" x14ac:dyDescent="0.25">
      <c r="A470" s="52">
        <v>45199</v>
      </c>
      <c r="B470" s="27" t="s">
        <v>11</v>
      </c>
      <c r="C470" s="2" t="s">
        <v>1341</v>
      </c>
      <c r="D470" s="2">
        <v>7</v>
      </c>
      <c r="E470" s="27" t="s">
        <v>123</v>
      </c>
      <c r="F470" t="s">
        <v>15</v>
      </c>
      <c r="G470" s="47"/>
      <c r="H470" s="102"/>
      <c r="I470" s="63"/>
      <c r="J470" t="str">
        <f>CONCATENATE(Tabla1[[#This Row],[OBRA]],"/",Tabla1[[#This Row],[CODIGO ENSAYO]])</f>
        <v>13-1/1-1</v>
      </c>
      <c r="K470" s="2" t="str">
        <f>UPPER(TEXT(Tabla1[[#This Row],[FECHA INF]],"MMMM"))</f>
        <v>SEPTIEMBRE</v>
      </c>
      <c r="L47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0478-23</v>
      </c>
    </row>
    <row r="471" spans="1:12" hidden="1" x14ac:dyDescent="0.25">
      <c r="A471" s="52">
        <v>45199</v>
      </c>
      <c r="B471" s="27" t="s">
        <v>11</v>
      </c>
      <c r="C471" s="2" t="s">
        <v>1342</v>
      </c>
      <c r="D471" s="2">
        <v>6</v>
      </c>
      <c r="E471" s="27" t="s">
        <v>123</v>
      </c>
      <c r="F471" t="s">
        <v>15</v>
      </c>
      <c r="G471" s="47"/>
      <c r="H471" s="102"/>
      <c r="I471" s="63"/>
      <c r="J471" t="str">
        <f>CONCATENATE(Tabla1[[#This Row],[OBRA]],"/",Tabla1[[#This Row],[CODIGO ENSAYO]])</f>
        <v>13-1/1-1</v>
      </c>
      <c r="K471" s="2" t="str">
        <f>UPPER(TEXT(Tabla1[[#This Row],[FECHA INF]],"MMMM"))</f>
        <v>SEPTIEMBRE</v>
      </c>
      <c r="L47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0480-23</v>
      </c>
    </row>
    <row r="472" spans="1:12" hidden="1" x14ac:dyDescent="0.25">
      <c r="A472" s="52">
        <v>45199</v>
      </c>
      <c r="B472" s="27" t="s">
        <v>11</v>
      </c>
      <c r="C472" s="2" t="s">
        <v>1343</v>
      </c>
      <c r="D472" s="2">
        <v>1</v>
      </c>
      <c r="E472" s="27" t="s">
        <v>123</v>
      </c>
      <c r="F472" t="s">
        <v>15</v>
      </c>
      <c r="G472" s="47"/>
      <c r="H472" s="102"/>
      <c r="I472" s="63"/>
      <c r="J472" t="str">
        <f>CONCATENATE(Tabla1[[#This Row],[OBRA]],"/",Tabla1[[#This Row],[CODIGO ENSAYO]])</f>
        <v>13-1/1-1</v>
      </c>
      <c r="K472" s="2" t="str">
        <f>UPPER(TEXT(Tabla1[[#This Row],[FECHA INF]],"MMMM"))</f>
        <v>SEPTIEMBRE</v>
      </c>
      <c r="L47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0482-23</v>
      </c>
    </row>
    <row r="473" spans="1:12" hidden="1" x14ac:dyDescent="0.25">
      <c r="A473" s="52">
        <v>45199</v>
      </c>
      <c r="B473" s="27" t="s">
        <v>11</v>
      </c>
      <c r="C473" s="2" t="s">
        <v>1344</v>
      </c>
      <c r="D473" s="2">
        <v>10</v>
      </c>
      <c r="E473" s="27" t="s">
        <v>123</v>
      </c>
      <c r="F473" t="s">
        <v>15</v>
      </c>
      <c r="G473" s="47"/>
      <c r="H473" s="102"/>
      <c r="I473" s="63"/>
      <c r="J473" t="str">
        <f>CONCATENATE(Tabla1[[#This Row],[OBRA]],"/",Tabla1[[#This Row],[CODIGO ENSAYO]])</f>
        <v>13-1/1-1</v>
      </c>
      <c r="K473" s="2" t="str">
        <f>UPPER(TEXT(Tabla1[[#This Row],[FECHA INF]],"MMMM"))</f>
        <v>SEPTIEMBRE</v>
      </c>
      <c r="L47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0484-23</v>
      </c>
    </row>
    <row r="474" spans="1:12" hidden="1" x14ac:dyDescent="0.25">
      <c r="A474" s="52">
        <v>45199</v>
      </c>
      <c r="B474" s="27" t="s">
        <v>11</v>
      </c>
      <c r="C474" s="2" t="s">
        <v>1345</v>
      </c>
      <c r="D474" s="2">
        <v>6</v>
      </c>
      <c r="E474" s="27" t="s">
        <v>123</v>
      </c>
      <c r="F474" t="s">
        <v>15</v>
      </c>
      <c r="G474" s="47"/>
      <c r="H474" s="102"/>
      <c r="I474" s="63"/>
      <c r="J474" t="str">
        <f>CONCATENATE(Tabla1[[#This Row],[OBRA]],"/",Tabla1[[#This Row],[CODIGO ENSAYO]])</f>
        <v>13-1/1-1</v>
      </c>
      <c r="K474" s="2" t="str">
        <f>UPPER(TEXT(Tabla1[[#This Row],[FECHA INF]],"MMMM"))</f>
        <v>SEPTIEMBRE</v>
      </c>
      <c r="L47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0486-23</v>
      </c>
    </row>
    <row r="475" spans="1:12" hidden="1" x14ac:dyDescent="0.25">
      <c r="A475" s="52">
        <v>45199</v>
      </c>
      <c r="B475" s="27" t="s">
        <v>148</v>
      </c>
      <c r="C475" s="2" t="s">
        <v>1357</v>
      </c>
      <c r="D475" s="2">
        <v>3</v>
      </c>
      <c r="E475" s="27" t="s">
        <v>123</v>
      </c>
      <c r="F475" t="s">
        <v>15</v>
      </c>
      <c r="G475" s="47"/>
      <c r="H475" s="102"/>
      <c r="I475" s="63"/>
      <c r="J475" t="str">
        <f>CONCATENATE(Tabla1[[#This Row],[OBRA]],"/",Tabla1[[#This Row],[CODIGO ENSAYO]])</f>
        <v>3-1/1-1</v>
      </c>
      <c r="K475" s="2" t="str">
        <f>UPPER(TEXT(Tabla1[[#This Row],[FECHA INF]],"MMMM"))</f>
        <v>SEPTIEMBRE</v>
      </c>
      <c r="L47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0487-23</v>
      </c>
    </row>
    <row r="476" spans="1:12" hidden="1" x14ac:dyDescent="0.25">
      <c r="A476" s="52">
        <v>45199</v>
      </c>
      <c r="B476" s="27" t="s">
        <v>11</v>
      </c>
      <c r="C476" s="2" t="s">
        <v>1346</v>
      </c>
      <c r="D476" s="2">
        <v>6</v>
      </c>
      <c r="E476" s="27" t="s">
        <v>123</v>
      </c>
      <c r="F476" t="s">
        <v>15</v>
      </c>
      <c r="G476" s="47"/>
      <c r="H476" s="102"/>
      <c r="I476" s="63"/>
      <c r="J476" t="str">
        <f>CONCATENATE(Tabla1[[#This Row],[OBRA]],"/",Tabla1[[#This Row],[CODIGO ENSAYO]])</f>
        <v>13-1/1-1</v>
      </c>
      <c r="K476" s="2" t="str">
        <f>UPPER(TEXT(Tabla1[[#This Row],[FECHA INF]],"MMMM"))</f>
        <v>SEPTIEMBRE</v>
      </c>
      <c r="L47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0489-23</v>
      </c>
    </row>
    <row r="477" spans="1:12" hidden="1" x14ac:dyDescent="0.25">
      <c r="A477" s="52">
        <v>45199</v>
      </c>
      <c r="B477" s="27" t="s">
        <v>148</v>
      </c>
      <c r="C477" s="2" t="s">
        <v>1358</v>
      </c>
      <c r="D477" s="2">
        <v>3</v>
      </c>
      <c r="E477" s="27" t="s">
        <v>123</v>
      </c>
      <c r="F477" t="s">
        <v>15</v>
      </c>
      <c r="G477" s="47"/>
      <c r="H477" s="102"/>
      <c r="I477" s="63"/>
      <c r="J477" t="str">
        <f>CONCATENATE(Tabla1[[#This Row],[OBRA]],"/",Tabla1[[#This Row],[CODIGO ENSAYO]])</f>
        <v>3-1/1-1</v>
      </c>
      <c r="K477" s="2" t="str">
        <f>UPPER(TEXT(Tabla1[[#This Row],[FECHA INF]],"MMMM"))</f>
        <v>SEPTIEMBRE</v>
      </c>
      <c r="L47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0490-23</v>
      </c>
    </row>
    <row r="478" spans="1:12" hidden="1" x14ac:dyDescent="0.25">
      <c r="A478" s="52">
        <v>45199</v>
      </c>
      <c r="B478" s="27" t="s">
        <v>11</v>
      </c>
      <c r="C478" s="2" t="s">
        <v>1347</v>
      </c>
      <c r="D478" s="2">
        <v>5</v>
      </c>
      <c r="E478" s="27" t="s">
        <v>123</v>
      </c>
      <c r="F478" t="s">
        <v>15</v>
      </c>
      <c r="G478" s="47"/>
      <c r="H478" s="102"/>
      <c r="I478" s="63"/>
      <c r="J478" t="str">
        <f>CONCATENATE(Tabla1[[#This Row],[OBRA]],"/",Tabla1[[#This Row],[CODIGO ENSAYO]])</f>
        <v>13-1/1-1</v>
      </c>
      <c r="K478" s="2" t="str">
        <f>UPPER(TEXT(Tabla1[[#This Row],[FECHA INF]],"MMMM"))</f>
        <v>SEPTIEMBRE</v>
      </c>
      <c r="L47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0492-23</v>
      </c>
    </row>
    <row r="479" spans="1:12" hidden="1" x14ac:dyDescent="0.25">
      <c r="A479" s="52">
        <v>45199</v>
      </c>
      <c r="B479" s="27" t="s">
        <v>148</v>
      </c>
      <c r="C479" s="2" t="s">
        <v>1359</v>
      </c>
      <c r="D479" s="2">
        <v>3</v>
      </c>
      <c r="E479" s="27" t="s">
        <v>123</v>
      </c>
      <c r="F479" t="s">
        <v>15</v>
      </c>
      <c r="G479" s="47"/>
      <c r="H479" s="102"/>
      <c r="I479" s="63"/>
      <c r="J479" t="str">
        <f>CONCATENATE(Tabla1[[#This Row],[OBRA]],"/",Tabla1[[#This Row],[CODIGO ENSAYO]])</f>
        <v>3-1/1-1</v>
      </c>
      <c r="K479" s="2" t="str">
        <f>UPPER(TEXT(Tabla1[[#This Row],[FECHA INF]],"MMMM"))</f>
        <v>SEPTIEMBRE</v>
      </c>
      <c r="L47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0493-23</v>
      </c>
    </row>
    <row r="480" spans="1:12" hidden="1" x14ac:dyDescent="0.25">
      <c r="A480" s="52">
        <v>45199</v>
      </c>
      <c r="B480" s="27" t="s">
        <v>11</v>
      </c>
      <c r="C480" s="2" t="s">
        <v>1348</v>
      </c>
      <c r="D480" s="2">
        <v>2</v>
      </c>
      <c r="E480" s="27" t="s">
        <v>123</v>
      </c>
      <c r="F480" t="s">
        <v>15</v>
      </c>
      <c r="G480" s="47"/>
      <c r="H480" s="102"/>
      <c r="I480" s="63"/>
      <c r="J480" t="str">
        <f>CONCATENATE(Tabla1[[#This Row],[OBRA]],"/",Tabla1[[#This Row],[CODIGO ENSAYO]])</f>
        <v>13-1/1-1</v>
      </c>
      <c r="K480" s="2" t="str">
        <f>UPPER(TEXT(Tabla1[[#This Row],[FECHA INF]],"MMMM"))</f>
        <v>SEPTIEMBRE</v>
      </c>
      <c r="L48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0495-23</v>
      </c>
    </row>
    <row r="481" spans="1:12" hidden="1" x14ac:dyDescent="0.25">
      <c r="A481" s="52">
        <v>45199</v>
      </c>
      <c r="B481" s="27" t="s">
        <v>11</v>
      </c>
      <c r="C481" s="2" t="s">
        <v>1353</v>
      </c>
      <c r="D481" s="2">
        <v>1</v>
      </c>
      <c r="E481" s="27" t="s">
        <v>1354</v>
      </c>
      <c r="F481" t="s">
        <v>1355</v>
      </c>
      <c r="G481" s="47"/>
      <c r="H481" s="102"/>
      <c r="I481" s="63"/>
      <c r="J481" t="str">
        <f>CONCATENATE(Tabla1[[#This Row],[OBRA]],"/",Tabla1[[#This Row],[CODIGO ENSAYO]])</f>
        <v>13-1/8-2v</v>
      </c>
      <c r="K481" s="2" t="str">
        <f>UPPER(TEXT(Tabla1[[#This Row],[FECHA INF]],"MMMM"))</f>
        <v>SEPTIEMBRE</v>
      </c>
      <c r="L48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14/9/2023</v>
      </c>
    </row>
    <row r="482" spans="1:12" hidden="1" x14ac:dyDescent="0.25">
      <c r="A482" s="52">
        <v>45199</v>
      </c>
      <c r="B482" s="27" t="s">
        <v>192</v>
      </c>
      <c r="C482" s="2" t="s">
        <v>1397</v>
      </c>
      <c r="D482" s="2">
        <v>360</v>
      </c>
      <c r="E482" s="27" t="s">
        <v>182</v>
      </c>
      <c r="F482" t="s">
        <v>792</v>
      </c>
      <c r="G482" s="47"/>
      <c r="H482" s="102"/>
      <c r="I482" s="63"/>
      <c r="J482" t="str">
        <f>CONCATENATE(Tabla1[[#This Row],[OBRA]],"/",Tabla1[[#This Row],[CODIGO ENSAYO]])</f>
        <v>10-2/8-4A</v>
      </c>
      <c r="K482" s="2" t="str">
        <f>UPPER(TEXT(Tabla1[[#This Row],[FECHA INF]],"MMMM"))</f>
        <v>SEPTIEMBRE</v>
      </c>
      <c r="L48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DEL 1 AL 30 DE SEPTIEMBRE DEL 2023</v>
      </c>
    </row>
    <row r="483" spans="1:12" hidden="1" x14ac:dyDescent="0.25">
      <c r="A483" s="52">
        <v>45230</v>
      </c>
      <c r="B483" s="27" t="s">
        <v>192</v>
      </c>
      <c r="C483" s="2" t="s">
        <v>1396</v>
      </c>
      <c r="D483" s="2">
        <v>372</v>
      </c>
      <c r="E483" s="27" t="s">
        <v>182</v>
      </c>
      <c r="F483" t="s">
        <v>792</v>
      </c>
      <c r="G483" s="47"/>
      <c r="H483" s="102"/>
      <c r="I483" s="63"/>
      <c r="J483" t="str">
        <f>CONCATENATE(Tabla1[[#This Row],[OBRA]],"/",Tabla1[[#This Row],[CODIGO ENSAYO]])</f>
        <v>10-2/8-4A</v>
      </c>
      <c r="K483" s="2" t="str">
        <f>UPPER(TEXT(Tabla1[[#This Row],[FECHA INF]],"MMMM"))</f>
        <v>OCTUBRE</v>
      </c>
      <c r="L48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(DEL 1 AL 31 DE OCTUBRE DEL 2023)</v>
      </c>
    </row>
    <row r="484" spans="1:12" hidden="1" x14ac:dyDescent="0.25">
      <c r="A484" s="52">
        <v>45230</v>
      </c>
      <c r="B484" s="27" t="s">
        <v>11</v>
      </c>
      <c r="C484" s="2" t="s">
        <v>1365</v>
      </c>
      <c r="D484" s="2">
        <v>3</v>
      </c>
      <c r="E484" s="27" t="s">
        <v>123</v>
      </c>
      <c r="F484" t="s">
        <v>15</v>
      </c>
      <c r="G484" s="47"/>
      <c r="H484" s="102"/>
      <c r="I484" s="63"/>
      <c r="J484" t="str">
        <f>CONCATENATE(Tabla1[[#This Row],[OBRA]],"/",Tabla1[[#This Row],[CODIGO ENSAYO]])</f>
        <v>13-1/1-1</v>
      </c>
      <c r="K484" s="2" t="str">
        <f>UPPER(TEXT(Tabla1[[#This Row],[FECHA INF]],"MMMM"))</f>
        <v>OCTUBRE</v>
      </c>
      <c r="L48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0500-23</v>
      </c>
    </row>
    <row r="485" spans="1:12" hidden="1" x14ac:dyDescent="0.25">
      <c r="A485" s="52">
        <v>45230</v>
      </c>
      <c r="B485" s="27" t="s">
        <v>11</v>
      </c>
      <c r="C485" s="2" t="s">
        <v>1366</v>
      </c>
      <c r="D485" s="2">
        <v>9</v>
      </c>
      <c r="E485" s="27" t="s">
        <v>123</v>
      </c>
      <c r="F485" t="s">
        <v>15</v>
      </c>
      <c r="G485" s="47"/>
      <c r="H485" s="102"/>
      <c r="I485" s="63"/>
      <c r="J485" t="str">
        <f>CONCATENATE(Tabla1[[#This Row],[OBRA]],"/",Tabla1[[#This Row],[CODIGO ENSAYO]])</f>
        <v>13-1/1-1</v>
      </c>
      <c r="K485" s="2" t="str">
        <f>UPPER(TEXT(Tabla1[[#This Row],[FECHA INF]],"MMMM"))</f>
        <v>OCTUBRE</v>
      </c>
      <c r="L48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0502-23</v>
      </c>
    </row>
    <row r="486" spans="1:12" hidden="1" x14ac:dyDescent="0.25">
      <c r="A486" s="52">
        <v>45230</v>
      </c>
      <c r="B486" s="27" t="s">
        <v>11</v>
      </c>
      <c r="C486" s="2" t="s">
        <v>1367</v>
      </c>
      <c r="D486" s="2">
        <v>4</v>
      </c>
      <c r="E486" s="27" t="s">
        <v>123</v>
      </c>
      <c r="F486" t="s">
        <v>15</v>
      </c>
      <c r="G486" s="47"/>
      <c r="H486" s="102"/>
      <c r="I486" s="63"/>
      <c r="J486" t="str">
        <f>CONCATENATE(Tabla1[[#This Row],[OBRA]],"/",Tabla1[[#This Row],[CODIGO ENSAYO]])</f>
        <v>13-1/1-1</v>
      </c>
      <c r="K486" s="2" t="str">
        <f>UPPER(TEXT(Tabla1[[#This Row],[FECHA INF]],"MMMM"))</f>
        <v>OCTUBRE</v>
      </c>
      <c r="L48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0504-23</v>
      </c>
    </row>
    <row r="487" spans="1:12" hidden="1" x14ac:dyDescent="0.25">
      <c r="A487" s="52">
        <v>45230</v>
      </c>
      <c r="B487" s="27" t="s">
        <v>11</v>
      </c>
      <c r="C487" s="2" t="s">
        <v>1368</v>
      </c>
      <c r="D487" s="2">
        <v>6</v>
      </c>
      <c r="E487" s="27" t="s">
        <v>123</v>
      </c>
      <c r="F487" t="s">
        <v>15</v>
      </c>
      <c r="G487" s="47"/>
      <c r="H487" s="102"/>
      <c r="I487" s="63"/>
      <c r="J487" t="str">
        <f>CONCATENATE(Tabla1[[#This Row],[OBRA]],"/",Tabla1[[#This Row],[CODIGO ENSAYO]])</f>
        <v>13-1/1-1</v>
      </c>
      <c r="K487" s="2" t="str">
        <f>UPPER(TEXT(Tabla1[[#This Row],[FECHA INF]],"MMMM"))</f>
        <v>OCTUBRE</v>
      </c>
      <c r="L48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0506-23</v>
      </c>
    </row>
    <row r="488" spans="1:12" hidden="1" x14ac:dyDescent="0.25">
      <c r="A488" s="52">
        <v>45230</v>
      </c>
      <c r="B488" s="27" t="s">
        <v>11</v>
      </c>
      <c r="C488" s="2" t="s">
        <v>1369</v>
      </c>
      <c r="D488" s="2">
        <v>7</v>
      </c>
      <c r="E488" s="27" t="s">
        <v>123</v>
      </c>
      <c r="F488" t="s">
        <v>15</v>
      </c>
      <c r="G488" s="47"/>
      <c r="H488" s="102"/>
      <c r="I488" s="63"/>
      <c r="J488" t="str">
        <f>CONCATENATE(Tabla1[[#This Row],[OBRA]],"/",Tabla1[[#This Row],[CODIGO ENSAYO]])</f>
        <v>13-1/1-1</v>
      </c>
      <c r="K488" s="2" t="str">
        <f>UPPER(TEXT(Tabla1[[#This Row],[FECHA INF]],"MMMM"))</f>
        <v>OCTUBRE</v>
      </c>
      <c r="L48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0508-23</v>
      </c>
    </row>
    <row r="489" spans="1:12" hidden="1" x14ac:dyDescent="0.25">
      <c r="A489" s="52">
        <v>45230</v>
      </c>
      <c r="B489" s="27" t="s">
        <v>11</v>
      </c>
      <c r="C489" s="2" t="s">
        <v>1361</v>
      </c>
      <c r="D489" s="2">
        <v>4</v>
      </c>
      <c r="E489" s="27" t="s">
        <v>141</v>
      </c>
      <c r="F489" t="s">
        <v>437</v>
      </c>
      <c r="G489" s="47"/>
      <c r="H489" s="102"/>
      <c r="I489" s="63"/>
      <c r="J489" t="str">
        <f>CONCATENATE(Tabla1[[#This Row],[OBRA]],"/",Tabla1[[#This Row],[CODIGO ENSAYO]])</f>
        <v>13-1/2-5</v>
      </c>
      <c r="K489" s="2" t="str">
        <f>UPPER(TEXT(Tabla1[[#This Row],[FECHA INF]],"MMMM"))</f>
        <v>OCTUBRE</v>
      </c>
      <c r="L48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0510-23</v>
      </c>
    </row>
    <row r="490" spans="1:12" hidden="1" x14ac:dyDescent="0.25">
      <c r="A490" s="52">
        <v>45230</v>
      </c>
      <c r="B490" s="27" t="s">
        <v>11</v>
      </c>
      <c r="C490" s="2" t="s">
        <v>1370</v>
      </c>
      <c r="D490" s="2">
        <v>3</v>
      </c>
      <c r="E490" s="27" t="s">
        <v>123</v>
      </c>
      <c r="F490" t="s">
        <v>15</v>
      </c>
      <c r="G490" s="47"/>
      <c r="H490" s="102"/>
      <c r="I490" s="63"/>
      <c r="J490" t="str">
        <f>CONCATENATE(Tabla1[[#This Row],[OBRA]],"/",Tabla1[[#This Row],[CODIGO ENSAYO]])</f>
        <v>13-1/1-1</v>
      </c>
      <c r="K490" s="2" t="str">
        <f>UPPER(TEXT(Tabla1[[#This Row],[FECHA INF]],"MMMM"))</f>
        <v>OCTUBRE</v>
      </c>
      <c r="L49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0511-23</v>
      </c>
    </row>
    <row r="491" spans="1:12" hidden="1" x14ac:dyDescent="0.25">
      <c r="A491" s="52">
        <v>45230</v>
      </c>
      <c r="B491" s="27" t="s">
        <v>11</v>
      </c>
      <c r="C491" s="2" t="s">
        <v>1371</v>
      </c>
      <c r="D491" s="2">
        <v>5</v>
      </c>
      <c r="E491" s="27" t="s">
        <v>123</v>
      </c>
      <c r="F491" t="s">
        <v>15</v>
      </c>
      <c r="G491" s="47"/>
      <c r="H491" s="102"/>
      <c r="I491" s="63"/>
      <c r="J491" t="str">
        <f>CONCATENATE(Tabla1[[#This Row],[OBRA]],"/",Tabla1[[#This Row],[CODIGO ENSAYO]])</f>
        <v>13-1/1-1</v>
      </c>
      <c r="K491" s="2" t="str">
        <f>UPPER(TEXT(Tabla1[[#This Row],[FECHA INF]],"MMMM"))</f>
        <v>OCTUBRE</v>
      </c>
      <c r="L49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0513-23</v>
      </c>
    </row>
    <row r="492" spans="1:12" hidden="1" x14ac:dyDescent="0.25">
      <c r="A492" s="52">
        <v>45230</v>
      </c>
      <c r="B492" s="27" t="s">
        <v>11</v>
      </c>
      <c r="C492" s="2" t="s">
        <v>1372</v>
      </c>
      <c r="D492" s="2">
        <v>4</v>
      </c>
      <c r="E492" s="27" t="s">
        <v>123</v>
      </c>
      <c r="F492" t="s">
        <v>15</v>
      </c>
      <c r="G492" s="47"/>
      <c r="H492" s="102"/>
      <c r="I492" s="63"/>
      <c r="J492" t="str">
        <f>CONCATENATE(Tabla1[[#This Row],[OBRA]],"/",Tabla1[[#This Row],[CODIGO ENSAYO]])</f>
        <v>13-1/1-1</v>
      </c>
      <c r="K492" s="2" t="str">
        <f>UPPER(TEXT(Tabla1[[#This Row],[FECHA INF]],"MMMM"))</f>
        <v>OCTUBRE</v>
      </c>
      <c r="L49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0515-23</v>
      </c>
    </row>
    <row r="493" spans="1:12" hidden="1" x14ac:dyDescent="0.25">
      <c r="A493" s="52">
        <v>45230</v>
      </c>
      <c r="B493" s="27" t="s">
        <v>11</v>
      </c>
      <c r="C493" s="2" t="s">
        <v>1373</v>
      </c>
      <c r="D493" s="2">
        <v>6</v>
      </c>
      <c r="E493" s="27" t="s">
        <v>123</v>
      </c>
      <c r="F493" t="s">
        <v>15</v>
      </c>
      <c r="G493" s="47"/>
      <c r="H493" s="102"/>
      <c r="I493" s="63"/>
      <c r="J493" t="str">
        <f>CONCATENATE(Tabla1[[#This Row],[OBRA]],"/",Tabla1[[#This Row],[CODIGO ENSAYO]])</f>
        <v>13-1/1-1</v>
      </c>
      <c r="K493" s="2" t="str">
        <f>UPPER(TEXT(Tabla1[[#This Row],[FECHA INF]],"MMMM"))</f>
        <v>OCTUBRE</v>
      </c>
      <c r="L49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0517-23</v>
      </c>
    </row>
    <row r="494" spans="1:12" hidden="1" x14ac:dyDescent="0.25">
      <c r="A494" s="52">
        <v>45230</v>
      </c>
      <c r="B494" s="27" t="s">
        <v>11</v>
      </c>
      <c r="C494" s="2" t="s">
        <v>1362</v>
      </c>
      <c r="D494" s="2">
        <v>6</v>
      </c>
      <c r="E494" s="27" t="s">
        <v>455</v>
      </c>
      <c r="F494" t="s">
        <v>456</v>
      </c>
      <c r="G494" s="47"/>
      <c r="H494" s="102"/>
      <c r="I494" s="63"/>
      <c r="J494" t="str">
        <f>CONCATENATE(Tabla1[[#This Row],[OBRA]],"/",Tabla1[[#This Row],[CODIGO ENSAYO]])</f>
        <v>13-1/2-5-1</v>
      </c>
      <c r="K494" s="2" t="str">
        <f>UPPER(TEXT(Tabla1[[#This Row],[FECHA INF]],"MMMM"))</f>
        <v>OCTUBRE</v>
      </c>
      <c r="L49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0518-23</v>
      </c>
    </row>
    <row r="495" spans="1:12" hidden="1" x14ac:dyDescent="0.25">
      <c r="A495" s="52">
        <v>45230</v>
      </c>
      <c r="B495" s="27" t="s">
        <v>11</v>
      </c>
      <c r="C495" s="2" t="s">
        <v>1374</v>
      </c>
      <c r="D495" s="2">
        <v>5</v>
      </c>
      <c r="E495" s="27" t="s">
        <v>123</v>
      </c>
      <c r="F495" t="s">
        <v>15</v>
      </c>
      <c r="G495" s="47"/>
      <c r="H495" s="102"/>
      <c r="I495" s="63"/>
      <c r="J495" t="str">
        <f>CONCATENATE(Tabla1[[#This Row],[OBRA]],"/",Tabla1[[#This Row],[CODIGO ENSAYO]])</f>
        <v>13-1/1-1</v>
      </c>
      <c r="K495" s="2" t="str">
        <f>UPPER(TEXT(Tabla1[[#This Row],[FECHA INF]],"MMMM"))</f>
        <v>OCTUBRE</v>
      </c>
      <c r="L49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0520-23</v>
      </c>
    </row>
    <row r="496" spans="1:12" hidden="1" x14ac:dyDescent="0.25">
      <c r="A496" s="52">
        <v>45230</v>
      </c>
      <c r="B496" s="27" t="s">
        <v>11</v>
      </c>
      <c r="C496" s="2" t="s">
        <v>1375</v>
      </c>
      <c r="D496" s="2">
        <v>6</v>
      </c>
      <c r="E496" s="27" t="s">
        <v>123</v>
      </c>
      <c r="F496" t="s">
        <v>15</v>
      </c>
      <c r="G496" s="47"/>
      <c r="H496" s="102"/>
      <c r="I496" s="63"/>
      <c r="J496" t="str">
        <f>CONCATENATE(Tabla1[[#This Row],[OBRA]],"/",Tabla1[[#This Row],[CODIGO ENSAYO]])</f>
        <v>13-1/1-1</v>
      </c>
      <c r="K496" s="2" t="str">
        <f>UPPER(TEXT(Tabla1[[#This Row],[FECHA INF]],"MMMM"))</f>
        <v>OCTUBRE</v>
      </c>
      <c r="L49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0522-23</v>
      </c>
    </row>
    <row r="497" spans="1:12" hidden="1" x14ac:dyDescent="0.25">
      <c r="A497" s="52">
        <v>45230</v>
      </c>
      <c r="B497" s="27" t="s">
        <v>11</v>
      </c>
      <c r="C497" s="2" t="s">
        <v>1376</v>
      </c>
      <c r="D497" s="2">
        <v>4</v>
      </c>
      <c r="E497" s="27" t="s">
        <v>123</v>
      </c>
      <c r="F497" t="s">
        <v>15</v>
      </c>
      <c r="G497" s="47"/>
      <c r="H497" s="102"/>
      <c r="I497" s="63"/>
      <c r="J497" t="str">
        <f>CONCATENATE(Tabla1[[#This Row],[OBRA]],"/",Tabla1[[#This Row],[CODIGO ENSAYO]])</f>
        <v>13-1/1-1</v>
      </c>
      <c r="K497" s="2" t="str">
        <f>UPPER(TEXT(Tabla1[[#This Row],[FECHA INF]],"MMMM"))</f>
        <v>OCTUBRE</v>
      </c>
      <c r="L49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0524-23</v>
      </c>
    </row>
    <row r="498" spans="1:12" hidden="1" x14ac:dyDescent="0.25">
      <c r="A498" s="52">
        <v>45230</v>
      </c>
      <c r="B498" s="27" t="s">
        <v>11</v>
      </c>
      <c r="C498" s="2" t="s">
        <v>1377</v>
      </c>
      <c r="D498" s="2">
        <v>9</v>
      </c>
      <c r="E498" s="27" t="s">
        <v>123</v>
      </c>
      <c r="F498" t="s">
        <v>15</v>
      </c>
      <c r="G498" s="47"/>
      <c r="H498" s="102"/>
      <c r="I498" s="63"/>
      <c r="J498" t="str">
        <f>CONCATENATE(Tabla1[[#This Row],[OBRA]],"/",Tabla1[[#This Row],[CODIGO ENSAYO]])</f>
        <v>13-1/1-1</v>
      </c>
      <c r="K498" s="2" t="str">
        <f>UPPER(TEXT(Tabla1[[#This Row],[FECHA INF]],"MMMM"))</f>
        <v>OCTUBRE</v>
      </c>
      <c r="L49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0526-23</v>
      </c>
    </row>
    <row r="499" spans="1:12" hidden="1" x14ac:dyDescent="0.25">
      <c r="A499" s="52">
        <v>45230</v>
      </c>
      <c r="B499" s="27" t="s">
        <v>11</v>
      </c>
      <c r="C499" s="2" t="s">
        <v>1378</v>
      </c>
      <c r="D499" s="2">
        <v>9</v>
      </c>
      <c r="E499" s="27" t="s">
        <v>123</v>
      </c>
      <c r="F499" t="s">
        <v>15</v>
      </c>
      <c r="G499" s="47"/>
      <c r="H499" s="102"/>
      <c r="I499" s="63"/>
      <c r="J499" t="str">
        <f>CONCATENATE(Tabla1[[#This Row],[OBRA]],"/",Tabla1[[#This Row],[CODIGO ENSAYO]])</f>
        <v>13-1/1-1</v>
      </c>
      <c r="K499" s="2" t="str">
        <f>UPPER(TEXT(Tabla1[[#This Row],[FECHA INF]],"MMMM"))</f>
        <v>OCTUBRE</v>
      </c>
      <c r="L49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0528-23</v>
      </c>
    </row>
    <row r="500" spans="1:12" hidden="1" x14ac:dyDescent="0.25">
      <c r="A500" s="52">
        <v>45230</v>
      </c>
      <c r="B500" s="27" t="s">
        <v>11</v>
      </c>
      <c r="C500" s="2" t="s">
        <v>1379</v>
      </c>
      <c r="D500" s="2">
        <v>3</v>
      </c>
      <c r="E500" s="27" t="s">
        <v>123</v>
      </c>
      <c r="F500" t="s">
        <v>15</v>
      </c>
      <c r="G500" s="47"/>
      <c r="H500" s="102"/>
      <c r="I500" s="63"/>
      <c r="J500" t="str">
        <f>CONCATENATE(Tabla1[[#This Row],[OBRA]],"/",Tabla1[[#This Row],[CODIGO ENSAYO]])</f>
        <v>13-1/1-1</v>
      </c>
      <c r="K500" s="2" t="str">
        <f>UPPER(TEXT(Tabla1[[#This Row],[FECHA INF]],"MMMM"))</f>
        <v>OCTUBRE</v>
      </c>
      <c r="L50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0530-23</v>
      </c>
    </row>
    <row r="501" spans="1:12" hidden="1" x14ac:dyDescent="0.25">
      <c r="A501" s="52">
        <v>45230</v>
      </c>
      <c r="B501" s="27" t="s">
        <v>11</v>
      </c>
      <c r="C501" s="2" t="s">
        <v>1380</v>
      </c>
      <c r="D501" s="2">
        <v>4</v>
      </c>
      <c r="E501" s="27" t="s">
        <v>123</v>
      </c>
      <c r="F501" t="s">
        <v>15</v>
      </c>
      <c r="G501" s="47"/>
      <c r="H501" s="102"/>
      <c r="I501" s="63"/>
      <c r="J501" t="str">
        <f>CONCATENATE(Tabla1[[#This Row],[OBRA]],"/",Tabla1[[#This Row],[CODIGO ENSAYO]])</f>
        <v>13-1/1-1</v>
      </c>
      <c r="K501" s="2" t="str">
        <f>UPPER(TEXT(Tabla1[[#This Row],[FECHA INF]],"MMMM"))</f>
        <v>OCTUBRE</v>
      </c>
      <c r="L50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0532-23</v>
      </c>
    </row>
    <row r="502" spans="1:12" hidden="1" x14ac:dyDescent="0.25">
      <c r="A502" s="52">
        <v>45230</v>
      </c>
      <c r="B502" s="27" t="s">
        <v>11</v>
      </c>
      <c r="C502" s="2" t="s">
        <v>1381</v>
      </c>
      <c r="D502" s="2">
        <v>6</v>
      </c>
      <c r="E502" s="27" t="s">
        <v>123</v>
      </c>
      <c r="F502" t="s">
        <v>15</v>
      </c>
      <c r="G502" s="47"/>
      <c r="H502" s="102"/>
      <c r="I502" s="63"/>
      <c r="J502" t="str">
        <f>CONCATENATE(Tabla1[[#This Row],[OBRA]],"/",Tabla1[[#This Row],[CODIGO ENSAYO]])</f>
        <v>13-1/1-1</v>
      </c>
      <c r="K502" s="2" t="str">
        <f>UPPER(TEXT(Tabla1[[#This Row],[FECHA INF]],"MMMM"))</f>
        <v>OCTUBRE</v>
      </c>
      <c r="L50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0534-23</v>
      </c>
    </row>
    <row r="503" spans="1:12" hidden="1" x14ac:dyDescent="0.25">
      <c r="A503" s="52">
        <v>45230</v>
      </c>
      <c r="B503" s="27" t="s">
        <v>11</v>
      </c>
      <c r="C503" s="2" t="s">
        <v>1382</v>
      </c>
      <c r="D503" s="2">
        <v>2</v>
      </c>
      <c r="E503" s="27" t="s">
        <v>123</v>
      </c>
      <c r="F503" t="s">
        <v>15</v>
      </c>
      <c r="G503" s="47"/>
      <c r="H503" s="102"/>
      <c r="I503" s="63"/>
      <c r="J503" t="str">
        <f>CONCATENATE(Tabla1[[#This Row],[OBRA]],"/",Tabla1[[#This Row],[CODIGO ENSAYO]])</f>
        <v>13-1/1-1</v>
      </c>
      <c r="K503" s="2" t="str">
        <f>UPPER(TEXT(Tabla1[[#This Row],[FECHA INF]],"MMMM"))</f>
        <v>OCTUBRE</v>
      </c>
      <c r="L50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0536-23</v>
      </c>
    </row>
    <row r="504" spans="1:12" hidden="1" x14ac:dyDescent="0.25">
      <c r="A504" s="52">
        <v>45230</v>
      </c>
      <c r="B504" s="27" t="s">
        <v>11</v>
      </c>
      <c r="C504" s="2" t="s">
        <v>1383</v>
      </c>
      <c r="D504" s="2">
        <v>3</v>
      </c>
      <c r="E504" s="27" t="s">
        <v>123</v>
      </c>
      <c r="F504" t="s">
        <v>15</v>
      </c>
      <c r="G504" s="47"/>
      <c r="H504" s="102"/>
      <c r="I504" s="63"/>
      <c r="J504" t="str">
        <f>CONCATENATE(Tabla1[[#This Row],[OBRA]],"/",Tabla1[[#This Row],[CODIGO ENSAYO]])</f>
        <v>13-1/1-1</v>
      </c>
      <c r="K504" s="2" t="str">
        <f>UPPER(TEXT(Tabla1[[#This Row],[FECHA INF]],"MMMM"))</f>
        <v>OCTUBRE</v>
      </c>
      <c r="L50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0538-23</v>
      </c>
    </row>
    <row r="505" spans="1:12" hidden="1" x14ac:dyDescent="0.25">
      <c r="A505" s="52">
        <v>45230</v>
      </c>
      <c r="B505" s="27" t="s">
        <v>11</v>
      </c>
      <c r="C505" s="2" t="s">
        <v>1363</v>
      </c>
      <c r="D505" s="2">
        <v>6</v>
      </c>
      <c r="E505" s="27" t="s">
        <v>455</v>
      </c>
      <c r="F505" t="s">
        <v>456</v>
      </c>
      <c r="G505" s="47"/>
      <c r="H505" s="102"/>
      <c r="I505" s="63"/>
      <c r="J505" t="str">
        <f>CONCATENATE(Tabla1[[#This Row],[OBRA]],"/",Tabla1[[#This Row],[CODIGO ENSAYO]])</f>
        <v>13-1/2-5-1</v>
      </c>
      <c r="K505" s="2" t="str">
        <f>UPPER(TEXT(Tabla1[[#This Row],[FECHA INF]],"MMMM"))</f>
        <v>OCTUBRE</v>
      </c>
      <c r="L50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0539-23</v>
      </c>
    </row>
    <row r="506" spans="1:12" hidden="1" x14ac:dyDescent="0.25">
      <c r="A506" s="52">
        <v>45230</v>
      </c>
      <c r="B506" s="27" t="s">
        <v>11</v>
      </c>
      <c r="C506" s="2" t="s">
        <v>1364</v>
      </c>
      <c r="D506" s="2">
        <v>1</v>
      </c>
      <c r="E506" s="27" t="s">
        <v>141</v>
      </c>
      <c r="F506" t="s">
        <v>437</v>
      </c>
      <c r="G506" s="47"/>
      <c r="H506" s="102"/>
      <c r="I506" s="63"/>
      <c r="J506" t="str">
        <f>CONCATENATE(Tabla1[[#This Row],[OBRA]],"/",Tabla1[[#This Row],[CODIGO ENSAYO]])</f>
        <v>13-1/2-5</v>
      </c>
      <c r="K506" s="2" t="str">
        <f>UPPER(TEXT(Tabla1[[#This Row],[FECHA INF]],"MMMM"))</f>
        <v>OCTUBRE</v>
      </c>
      <c r="L50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0540-23</v>
      </c>
    </row>
    <row r="507" spans="1:12" hidden="1" x14ac:dyDescent="0.25">
      <c r="A507" s="52">
        <v>45230</v>
      </c>
      <c r="B507" s="27" t="s">
        <v>11</v>
      </c>
      <c r="C507" s="2" t="s">
        <v>1384</v>
      </c>
      <c r="D507" s="2">
        <v>2</v>
      </c>
      <c r="E507" s="27" t="s">
        <v>123</v>
      </c>
      <c r="F507" t="s">
        <v>15</v>
      </c>
      <c r="G507" s="47"/>
      <c r="H507" s="102"/>
      <c r="I507" s="63"/>
      <c r="J507" t="str">
        <f>CONCATENATE(Tabla1[[#This Row],[OBRA]],"/",Tabla1[[#This Row],[CODIGO ENSAYO]])</f>
        <v>13-1/1-1</v>
      </c>
      <c r="K507" s="2" t="str">
        <f>UPPER(TEXT(Tabla1[[#This Row],[FECHA INF]],"MMMM"))</f>
        <v>OCTUBRE</v>
      </c>
      <c r="L50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0542-23</v>
      </c>
    </row>
    <row r="508" spans="1:12" hidden="1" x14ac:dyDescent="0.25">
      <c r="A508" s="52">
        <v>45230</v>
      </c>
      <c r="B508" s="27" t="s">
        <v>11</v>
      </c>
      <c r="C508" s="2" t="s">
        <v>1385</v>
      </c>
      <c r="D508" s="2">
        <v>6</v>
      </c>
      <c r="E508" s="27" t="s">
        <v>123</v>
      </c>
      <c r="F508" t="s">
        <v>15</v>
      </c>
      <c r="G508" s="47"/>
      <c r="H508" s="102"/>
      <c r="I508" s="63"/>
      <c r="J508" t="str">
        <f>CONCATENATE(Tabla1[[#This Row],[OBRA]],"/",Tabla1[[#This Row],[CODIGO ENSAYO]])</f>
        <v>13-1/1-1</v>
      </c>
      <c r="K508" s="2" t="str">
        <f>UPPER(TEXT(Tabla1[[#This Row],[FECHA INF]],"MMMM"))</f>
        <v>OCTUBRE</v>
      </c>
      <c r="L50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0544-23</v>
      </c>
    </row>
    <row r="509" spans="1:12" hidden="1" x14ac:dyDescent="0.25">
      <c r="A509" s="52">
        <v>45230</v>
      </c>
      <c r="B509" s="27" t="s">
        <v>11</v>
      </c>
      <c r="C509" s="2" t="s">
        <v>1386</v>
      </c>
      <c r="D509" s="2">
        <v>4</v>
      </c>
      <c r="E509" s="27" t="s">
        <v>123</v>
      </c>
      <c r="F509" t="s">
        <v>15</v>
      </c>
      <c r="G509" s="47"/>
      <c r="H509" s="102"/>
      <c r="I509" s="63"/>
      <c r="J509" t="str">
        <f>CONCATENATE(Tabla1[[#This Row],[OBRA]],"/",Tabla1[[#This Row],[CODIGO ENSAYO]])</f>
        <v>13-1/1-1</v>
      </c>
      <c r="K509" s="2" t="str">
        <f>UPPER(TEXT(Tabla1[[#This Row],[FECHA INF]],"MMMM"))</f>
        <v>OCTUBRE</v>
      </c>
      <c r="L50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0546-23</v>
      </c>
    </row>
    <row r="510" spans="1:12" hidden="1" x14ac:dyDescent="0.25">
      <c r="A510" s="52">
        <v>45230</v>
      </c>
      <c r="B510" s="27" t="s">
        <v>11</v>
      </c>
      <c r="C510" s="2" t="s">
        <v>1387</v>
      </c>
      <c r="D510" s="2">
        <v>3</v>
      </c>
      <c r="E510" s="27" t="s">
        <v>123</v>
      </c>
      <c r="F510" t="s">
        <v>15</v>
      </c>
      <c r="G510" s="47"/>
      <c r="H510" s="102"/>
      <c r="I510" s="63"/>
      <c r="J510" t="str">
        <f>CONCATENATE(Tabla1[[#This Row],[OBRA]],"/",Tabla1[[#This Row],[CODIGO ENSAYO]])</f>
        <v>13-1/1-1</v>
      </c>
      <c r="K510" s="2" t="str">
        <f>UPPER(TEXT(Tabla1[[#This Row],[FECHA INF]],"MMMM"))</f>
        <v>OCTUBRE</v>
      </c>
      <c r="L51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0548-23</v>
      </c>
    </row>
    <row r="511" spans="1:12" hidden="1" x14ac:dyDescent="0.25">
      <c r="A511" s="52">
        <v>45230</v>
      </c>
      <c r="B511" s="27" t="s">
        <v>11</v>
      </c>
      <c r="C511" s="2" t="s">
        <v>1388</v>
      </c>
      <c r="D511" s="2">
        <v>3</v>
      </c>
      <c r="E511" s="27" t="s">
        <v>123</v>
      </c>
      <c r="F511" t="s">
        <v>15</v>
      </c>
      <c r="G511" s="47"/>
      <c r="H511" s="102"/>
      <c r="I511" s="63"/>
      <c r="J511" t="str">
        <f>CONCATENATE(Tabla1[[#This Row],[OBRA]],"/",Tabla1[[#This Row],[CODIGO ENSAYO]])</f>
        <v>13-1/1-1</v>
      </c>
      <c r="K511" s="2" t="str">
        <f>UPPER(TEXT(Tabla1[[#This Row],[FECHA INF]],"MMMM"))</f>
        <v>OCTUBRE</v>
      </c>
      <c r="L5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0551-23</v>
      </c>
    </row>
    <row r="512" spans="1:12" hidden="1" x14ac:dyDescent="0.25">
      <c r="A512" s="52">
        <v>45230</v>
      </c>
      <c r="B512" s="27" t="s">
        <v>11</v>
      </c>
      <c r="C512" s="2" t="s">
        <v>1389</v>
      </c>
      <c r="D512" s="2">
        <v>3</v>
      </c>
      <c r="E512" s="27" t="s">
        <v>123</v>
      </c>
      <c r="F512" t="s">
        <v>15</v>
      </c>
      <c r="G512" s="47"/>
      <c r="H512" s="102"/>
      <c r="I512" s="63"/>
      <c r="J512" t="str">
        <f>CONCATENATE(Tabla1[[#This Row],[OBRA]],"/",Tabla1[[#This Row],[CODIGO ENSAYO]])</f>
        <v>13-1/1-1</v>
      </c>
      <c r="K512" s="2" t="str">
        <f>UPPER(TEXT(Tabla1[[#This Row],[FECHA INF]],"MMMM"))</f>
        <v>OCTUBRE</v>
      </c>
      <c r="L51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0554-23</v>
      </c>
    </row>
    <row r="513" spans="1:12" hidden="1" x14ac:dyDescent="0.25">
      <c r="A513" s="52">
        <v>45230</v>
      </c>
      <c r="B513" s="27" t="s">
        <v>11</v>
      </c>
      <c r="C513" s="2" t="s">
        <v>1390</v>
      </c>
      <c r="D513" s="2">
        <v>4</v>
      </c>
      <c r="E513" s="27" t="s">
        <v>123</v>
      </c>
      <c r="F513" t="s">
        <v>15</v>
      </c>
      <c r="G513" s="47"/>
      <c r="H513" s="102"/>
      <c r="I513" s="63"/>
      <c r="J513" t="str">
        <f>CONCATENATE(Tabla1[[#This Row],[OBRA]],"/",Tabla1[[#This Row],[CODIGO ENSAYO]])</f>
        <v>13-1/1-1</v>
      </c>
      <c r="K513" s="2" t="str">
        <f>UPPER(TEXT(Tabla1[[#This Row],[FECHA INF]],"MMMM"))</f>
        <v>OCTUBRE</v>
      </c>
      <c r="L51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0556-23</v>
      </c>
    </row>
    <row r="514" spans="1:12" hidden="1" x14ac:dyDescent="0.25">
      <c r="A514" s="52">
        <v>45230</v>
      </c>
      <c r="B514" s="27" t="s">
        <v>11</v>
      </c>
      <c r="C514" s="2" t="s">
        <v>1391</v>
      </c>
      <c r="D514" s="2">
        <v>3</v>
      </c>
      <c r="E514" s="27" t="s">
        <v>204</v>
      </c>
      <c r="F514" t="s">
        <v>488</v>
      </c>
      <c r="G514" s="47"/>
      <c r="H514" s="102"/>
      <c r="I514" s="63"/>
      <c r="J514" t="str">
        <f>CONCATENATE(Tabla1[[#This Row],[OBRA]],"/",Tabla1[[#This Row],[CODIGO ENSAYO]])</f>
        <v>13-1/11-2L</v>
      </c>
      <c r="K514" s="2" t="str">
        <f>UPPER(TEXT(Tabla1[[#This Row],[FECHA INF]],"MMMM"))</f>
        <v>OCTUBRE</v>
      </c>
      <c r="L51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06-12-23 DE OCTUBRE DEL 2023</v>
      </c>
    </row>
    <row r="515" spans="1:12" hidden="1" x14ac:dyDescent="0.25">
      <c r="A515" s="52">
        <v>45230</v>
      </c>
      <c r="B515" s="27" t="s">
        <v>11</v>
      </c>
      <c r="C515" s="2" t="s">
        <v>1392</v>
      </c>
      <c r="D515" s="2">
        <v>341</v>
      </c>
      <c r="E515" s="27" t="s">
        <v>182</v>
      </c>
      <c r="F515" t="s">
        <v>792</v>
      </c>
      <c r="G515" s="47"/>
      <c r="H515" s="102"/>
      <c r="I515" s="63"/>
      <c r="J515" t="str">
        <f>CONCATENATE(Tabla1[[#This Row],[OBRA]],"/",Tabla1[[#This Row],[CODIGO ENSAYO]])</f>
        <v>13-1/8-4A</v>
      </c>
      <c r="K515" s="2" t="str">
        <f>UPPER(TEXT(Tabla1[[#This Row],[FECHA INF]],"MMMM"))</f>
        <v>OCTUBRE</v>
      </c>
      <c r="L51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 xml:space="preserve">DEL 1 AL 31 DE OCTUBRE DEL 2023 </v>
      </c>
    </row>
    <row r="516" spans="1:12" hidden="1" x14ac:dyDescent="0.25">
      <c r="A516" s="52">
        <v>45230</v>
      </c>
      <c r="B516" s="27" t="s">
        <v>11</v>
      </c>
      <c r="C516" s="2" t="s">
        <v>1393</v>
      </c>
      <c r="D516" s="2">
        <v>100</v>
      </c>
      <c r="E516" s="27" t="s">
        <v>182</v>
      </c>
      <c r="F516" t="s">
        <v>792</v>
      </c>
      <c r="G516" s="47"/>
      <c r="H516" s="102"/>
      <c r="I516" s="63"/>
      <c r="J516" t="str">
        <f>CONCATENATE(Tabla1[[#This Row],[OBRA]],"/",Tabla1[[#This Row],[CODIGO ENSAYO]])</f>
        <v>13-1/8-4A</v>
      </c>
      <c r="K516" s="2" t="str">
        <f>UPPER(TEXT(Tabla1[[#This Row],[FECHA INF]],"MMMM"))</f>
        <v>OCTUBRE</v>
      </c>
      <c r="L51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DEL 7 AL 31 DE OCTUBRE DEL 2023</v>
      </c>
    </row>
    <row r="517" spans="1:12" hidden="1" x14ac:dyDescent="0.25">
      <c r="A517" s="52">
        <v>45260</v>
      </c>
      <c r="B517" s="27" t="s">
        <v>11</v>
      </c>
      <c r="C517" s="2" t="s">
        <v>1430</v>
      </c>
      <c r="D517" s="2">
        <v>5</v>
      </c>
      <c r="E517" s="27" t="s">
        <v>204</v>
      </c>
      <c r="F517" t="s">
        <v>1394</v>
      </c>
      <c r="G517" s="47"/>
      <c r="H517" s="102"/>
      <c r="I517" s="63"/>
      <c r="J517" t="str">
        <f>CONCATENATE(Tabla1[[#This Row],[OBRA]],"/",Tabla1[[#This Row],[CODIGO ENSAYO]])</f>
        <v>13-1/11-2L</v>
      </c>
      <c r="K517" s="2" t="str">
        <f>UPPER(TEXT(Tabla1[[#This Row],[FECHA INF]],"MMMM"))</f>
        <v>NOVIEMBRE</v>
      </c>
      <c r="L51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(3-10-15-17-20-21 DE NOVIEMBRE DEL 2023)</v>
      </c>
    </row>
    <row r="518" spans="1:12" hidden="1" x14ac:dyDescent="0.25">
      <c r="A518" s="52">
        <v>45260</v>
      </c>
      <c r="B518" s="27" t="s">
        <v>11</v>
      </c>
      <c r="C518" s="2" t="s">
        <v>1433</v>
      </c>
      <c r="D518" s="2">
        <v>1</v>
      </c>
      <c r="E518" s="27" t="s">
        <v>1432</v>
      </c>
      <c r="F518" t="s">
        <v>1431</v>
      </c>
      <c r="G518" s="47"/>
      <c r="H518" s="102"/>
      <c r="I518" s="63"/>
      <c r="J518" t="str">
        <f>CONCATENATE(Tabla1[[#This Row],[OBRA]],"/",Tabla1[[#This Row],[CODIGO ENSAYO]])</f>
        <v>13-1/11-10L</v>
      </c>
      <c r="K518" s="2" t="str">
        <f>UPPER(TEXT(Tabla1[[#This Row],[FECHA INF]],"MMMM"))</f>
        <v>NOVIEMBRE</v>
      </c>
      <c r="L51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(4 DE NOVIEMBRE DEL 2023)</v>
      </c>
    </row>
    <row r="519" spans="1:12" hidden="1" x14ac:dyDescent="0.25">
      <c r="A519" s="52">
        <v>45260</v>
      </c>
      <c r="B519" s="27" t="s">
        <v>11</v>
      </c>
      <c r="C519" s="2" t="s">
        <v>1428</v>
      </c>
      <c r="D519" s="2">
        <v>240</v>
      </c>
      <c r="E519" s="27" t="s">
        <v>182</v>
      </c>
      <c r="F519" t="s">
        <v>792</v>
      </c>
      <c r="G519" s="47"/>
      <c r="H519" s="102"/>
      <c r="I519" s="63"/>
      <c r="J519" t="str">
        <f>CONCATENATE(Tabla1[[#This Row],[OBRA]],"/",Tabla1[[#This Row],[CODIGO ENSAYO]])</f>
        <v>13-1/8-4A</v>
      </c>
      <c r="K519" s="2" t="str">
        <f>UPPER(TEXT(Tabla1[[#This Row],[FECHA INF]],"MMMM"))</f>
        <v>NOVIEMBRE</v>
      </c>
      <c r="L51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(DEL 1 AL 16 DE NOVIEMBRE DEL 2023)</v>
      </c>
    </row>
    <row r="520" spans="1:12" hidden="1" x14ac:dyDescent="0.25">
      <c r="A520" s="52">
        <v>45260</v>
      </c>
      <c r="B520" s="27" t="s">
        <v>11</v>
      </c>
      <c r="C520" s="2" t="s">
        <v>1429</v>
      </c>
      <c r="D520" s="2">
        <v>70</v>
      </c>
      <c r="E520" s="27" t="s">
        <v>182</v>
      </c>
      <c r="F520" t="s">
        <v>792</v>
      </c>
      <c r="G520" s="47"/>
      <c r="H520" s="102"/>
      <c r="I520" s="63"/>
      <c r="J520" t="str">
        <f>CONCATENATE(Tabla1[[#This Row],[OBRA]],"/",Tabla1[[#This Row],[CODIGO ENSAYO]])</f>
        <v>13-1/8-4A</v>
      </c>
      <c r="K520" s="2" t="str">
        <f>UPPER(TEXT(Tabla1[[#This Row],[FECHA INF]],"MMMM"))</f>
        <v>NOVIEMBRE</v>
      </c>
      <c r="L52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(DEL 17 AL 30 DE NOVIEMBRE DEL 2023)</v>
      </c>
    </row>
    <row r="521" spans="1:12" hidden="1" x14ac:dyDescent="0.25">
      <c r="A521" s="52">
        <v>45260</v>
      </c>
      <c r="B521" s="27" t="s">
        <v>11</v>
      </c>
      <c r="C521" s="2" t="s">
        <v>1406</v>
      </c>
      <c r="D521" s="2">
        <v>2</v>
      </c>
      <c r="E521" s="27" t="s">
        <v>123</v>
      </c>
      <c r="F521" t="s">
        <v>15</v>
      </c>
      <c r="G521" s="47"/>
      <c r="H521" s="102"/>
      <c r="I521" s="63"/>
      <c r="J521" t="str">
        <f>CONCATENATE(Tabla1[[#This Row],[OBRA]],"/",Tabla1[[#This Row],[CODIGO ENSAYO]])</f>
        <v>13-1/1-1</v>
      </c>
      <c r="K521" s="2" t="str">
        <f>UPPER(TEXT(Tabla1[[#This Row],[FECHA INF]],"MMMM"))</f>
        <v>NOVIEMBRE</v>
      </c>
      <c r="L52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0558-23</v>
      </c>
    </row>
    <row r="522" spans="1:12" hidden="1" x14ac:dyDescent="0.25">
      <c r="A522" s="52">
        <v>45260</v>
      </c>
      <c r="B522" s="27" t="s">
        <v>11</v>
      </c>
      <c r="C522" s="2" t="s">
        <v>1407</v>
      </c>
      <c r="D522" s="2">
        <v>5</v>
      </c>
      <c r="E522" s="27" t="s">
        <v>123</v>
      </c>
      <c r="F522" t="s">
        <v>15</v>
      </c>
      <c r="G522" s="47"/>
      <c r="H522" s="102"/>
      <c r="I522" s="63"/>
      <c r="J522" t="str">
        <f>CONCATENATE(Tabla1[[#This Row],[OBRA]],"/",Tabla1[[#This Row],[CODIGO ENSAYO]])</f>
        <v>13-1/1-1</v>
      </c>
      <c r="K522" s="2" t="str">
        <f>UPPER(TEXT(Tabla1[[#This Row],[FECHA INF]],"MMMM"))</f>
        <v>NOVIEMBRE</v>
      </c>
      <c r="L52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0560-23</v>
      </c>
    </row>
    <row r="523" spans="1:12" hidden="1" x14ac:dyDescent="0.25">
      <c r="A523" s="52">
        <v>45260</v>
      </c>
      <c r="B523" s="27" t="s">
        <v>11</v>
      </c>
      <c r="C523" s="2" t="s">
        <v>1408</v>
      </c>
      <c r="D523" s="2">
        <v>7</v>
      </c>
      <c r="E523" s="27" t="s">
        <v>123</v>
      </c>
      <c r="F523" t="s">
        <v>15</v>
      </c>
      <c r="G523" s="47"/>
      <c r="H523" s="102"/>
      <c r="I523" s="63"/>
      <c r="J523" t="str">
        <f>CONCATENATE(Tabla1[[#This Row],[OBRA]],"/",Tabla1[[#This Row],[CODIGO ENSAYO]])</f>
        <v>13-1/1-1</v>
      </c>
      <c r="K523" s="2" t="str">
        <f>UPPER(TEXT(Tabla1[[#This Row],[FECHA INF]],"MMMM"))</f>
        <v>NOVIEMBRE</v>
      </c>
      <c r="L52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0562-23</v>
      </c>
    </row>
    <row r="524" spans="1:12" hidden="1" x14ac:dyDescent="0.25">
      <c r="A524" s="52">
        <v>45260</v>
      </c>
      <c r="B524" s="27" t="s">
        <v>11</v>
      </c>
      <c r="C524" s="2" t="s">
        <v>1409</v>
      </c>
      <c r="D524" s="2">
        <v>1</v>
      </c>
      <c r="E524" s="27" t="s">
        <v>123</v>
      </c>
      <c r="F524" t="s">
        <v>15</v>
      </c>
      <c r="G524" s="47"/>
      <c r="H524" s="102"/>
      <c r="I524" s="63"/>
      <c r="J524" t="str">
        <f>CONCATENATE(Tabla1[[#This Row],[OBRA]],"/",Tabla1[[#This Row],[CODIGO ENSAYO]])</f>
        <v>13-1/1-1</v>
      </c>
      <c r="K524" s="2" t="str">
        <f>UPPER(TEXT(Tabla1[[#This Row],[FECHA INF]],"MMMM"))</f>
        <v>NOVIEMBRE</v>
      </c>
      <c r="L52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0564-23</v>
      </c>
    </row>
    <row r="525" spans="1:12" hidden="1" x14ac:dyDescent="0.25">
      <c r="A525" s="52">
        <v>45260</v>
      </c>
      <c r="B525" s="27" t="s">
        <v>11</v>
      </c>
      <c r="C525" s="2" t="s">
        <v>1410</v>
      </c>
      <c r="D525" s="2">
        <v>6</v>
      </c>
      <c r="E525" s="27" t="s">
        <v>123</v>
      </c>
      <c r="F525" t="s">
        <v>15</v>
      </c>
      <c r="G525" s="47"/>
      <c r="H525" s="102"/>
      <c r="I525" s="63"/>
      <c r="J525" t="str">
        <f>CONCATENATE(Tabla1[[#This Row],[OBRA]],"/",Tabla1[[#This Row],[CODIGO ENSAYO]])</f>
        <v>13-1/1-1</v>
      </c>
      <c r="K525" s="2" t="str">
        <f>UPPER(TEXT(Tabla1[[#This Row],[FECHA INF]],"MMMM"))</f>
        <v>NOVIEMBRE</v>
      </c>
      <c r="L52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0567-23</v>
      </c>
    </row>
    <row r="526" spans="1:12" hidden="1" x14ac:dyDescent="0.25">
      <c r="A526" s="52">
        <v>45260</v>
      </c>
      <c r="B526" s="27" t="s">
        <v>11</v>
      </c>
      <c r="C526" s="2" t="s">
        <v>1411</v>
      </c>
      <c r="D526" s="2">
        <v>6</v>
      </c>
      <c r="E526" s="27" t="s">
        <v>123</v>
      </c>
      <c r="F526" t="s">
        <v>15</v>
      </c>
      <c r="G526" s="47"/>
      <c r="H526" s="102"/>
      <c r="I526" s="63"/>
      <c r="J526" t="str">
        <f>CONCATENATE(Tabla1[[#This Row],[OBRA]],"/",Tabla1[[#This Row],[CODIGO ENSAYO]])</f>
        <v>13-1/1-1</v>
      </c>
      <c r="K526" s="2" t="str">
        <f>UPPER(TEXT(Tabla1[[#This Row],[FECHA INF]],"MMMM"))</f>
        <v>NOVIEMBRE</v>
      </c>
      <c r="L52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0569-23</v>
      </c>
    </row>
    <row r="527" spans="1:12" hidden="1" x14ac:dyDescent="0.25">
      <c r="A527" s="52">
        <v>45260</v>
      </c>
      <c r="B527" s="27" t="s">
        <v>11</v>
      </c>
      <c r="C527" s="2" t="s">
        <v>1412</v>
      </c>
      <c r="D527" s="2">
        <v>2</v>
      </c>
      <c r="E527" s="27" t="s">
        <v>123</v>
      </c>
      <c r="F527" t="s">
        <v>15</v>
      </c>
      <c r="G527" s="47"/>
      <c r="H527" s="102"/>
      <c r="I527" s="63"/>
      <c r="J527" t="str">
        <f>CONCATENATE(Tabla1[[#This Row],[OBRA]],"/",Tabla1[[#This Row],[CODIGO ENSAYO]])</f>
        <v>13-1/1-1</v>
      </c>
      <c r="K527" s="2" t="str">
        <f>UPPER(TEXT(Tabla1[[#This Row],[FECHA INF]],"MMMM"))</f>
        <v>NOVIEMBRE</v>
      </c>
      <c r="L52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0571-23</v>
      </c>
    </row>
    <row r="528" spans="1:12" hidden="1" x14ac:dyDescent="0.25">
      <c r="A528" s="52">
        <v>45260</v>
      </c>
      <c r="B528" s="27" t="s">
        <v>11</v>
      </c>
      <c r="C528" s="2" t="s">
        <v>1413</v>
      </c>
      <c r="D528" s="2">
        <v>5</v>
      </c>
      <c r="E528" s="27" t="s">
        <v>123</v>
      </c>
      <c r="F528" t="s">
        <v>15</v>
      </c>
      <c r="G528" s="47"/>
      <c r="H528" s="102"/>
      <c r="I528" s="63"/>
      <c r="J528" t="str">
        <f>CONCATENATE(Tabla1[[#This Row],[OBRA]],"/",Tabla1[[#This Row],[CODIGO ENSAYO]])</f>
        <v>13-1/1-1</v>
      </c>
      <c r="K528" s="2" t="str">
        <f>UPPER(TEXT(Tabla1[[#This Row],[FECHA INF]],"MMMM"))</f>
        <v>NOVIEMBRE</v>
      </c>
      <c r="L52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0574-23</v>
      </c>
    </row>
    <row r="529" spans="1:12" hidden="1" x14ac:dyDescent="0.25">
      <c r="A529" s="52">
        <v>45260</v>
      </c>
      <c r="B529" s="27" t="s">
        <v>11</v>
      </c>
      <c r="C529" s="2" t="s">
        <v>1414</v>
      </c>
      <c r="D529" s="2">
        <v>3</v>
      </c>
      <c r="E529" s="27" t="s">
        <v>123</v>
      </c>
      <c r="F529" t="s">
        <v>15</v>
      </c>
      <c r="G529" s="47"/>
      <c r="H529" s="102"/>
      <c r="I529" s="63"/>
      <c r="J529" t="str">
        <f>CONCATENATE(Tabla1[[#This Row],[OBRA]],"/",Tabla1[[#This Row],[CODIGO ENSAYO]])</f>
        <v>13-1/1-1</v>
      </c>
      <c r="K529" s="2" t="str">
        <f>UPPER(TEXT(Tabla1[[#This Row],[FECHA INF]],"MMMM"))</f>
        <v>NOVIEMBRE</v>
      </c>
      <c r="L52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0576-23</v>
      </c>
    </row>
    <row r="530" spans="1:12" hidden="1" x14ac:dyDescent="0.25">
      <c r="A530" s="52">
        <v>45260</v>
      </c>
      <c r="B530" s="27" t="s">
        <v>11</v>
      </c>
      <c r="C530" s="2" t="s">
        <v>1415</v>
      </c>
      <c r="D530" s="2">
        <v>3</v>
      </c>
      <c r="E530" s="27" t="s">
        <v>123</v>
      </c>
      <c r="F530" t="s">
        <v>15</v>
      </c>
      <c r="G530" s="47"/>
      <c r="H530" s="102"/>
      <c r="I530" s="63"/>
      <c r="J530" t="str">
        <f>CONCATENATE(Tabla1[[#This Row],[OBRA]],"/",Tabla1[[#This Row],[CODIGO ENSAYO]])</f>
        <v>13-1/1-1</v>
      </c>
      <c r="K530" s="2" t="str">
        <f>UPPER(TEXT(Tabla1[[#This Row],[FECHA INF]],"MMMM"))</f>
        <v>NOVIEMBRE</v>
      </c>
      <c r="L53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0580-23</v>
      </c>
    </row>
    <row r="531" spans="1:12" hidden="1" x14ac:dyDescent="0.25">
      <c r="A531" s="52">
        <v>45260</v>
      </c>
      <c r="B531" s="27" t="s">
        <v>11</v>
      </c>
      <c r="C531" s="2" t="s">
        <v>1416</v>
      </c>
      <c r="D531" s="2">
        <v>2</v>
      </c>
      <c r="E531" s="27" t="s">
        <v>123</v>
      </c>
      <c r="F531" t="s">
        <v>15</v>
      </c>
      <c r="G531" s="47"/>
      <c r="H531" s="102"/>
      <c r="I531" s="63"/>
      <c r="J531" t="str">
        <f>CONCATENATE(Tabla1[[#This Row],[OBRA]],"/",Tabla1[[#This Row],[CODIGO ENSAYO]])</f>
        <v>13-1/1-1</v>
      </c>
      <c r="K531" s="2" t="str">
        <f>UPPER(TEXT(Tabla1[[#This Row],[FECHA INF]],"MMMM"))</f>
        <v>NOVIEMBRE</v>
      </c>
      <c r="L53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0582-23</v>
      </c>
    </row>
    <row r="532" spans="1:12" hidden="1" x14ac:dyDescent="0.25">
      <c r="A532" s="52">
        <v>45260</v>
      </c>
      <c r="B532" s="27" t="s">
        <v>11</v>
      </c>
      <c r="C532" s="2" t="s">
        <v>1417</v>
      </c>
      <c r="D532" s="2">
        <v>3</v>
      </c>
      <c r="E532" s="27" t="s">
        <v>123</v>
      </c>
      <c r="F532" t="s">
        <v>15</v>
      </c>
      <c r="G532" s="47"/>
      <c r="H532" s="102"/>
      <c r="I532" s="63"/>
      <c r="J532" t="str">
        <f>CONCATENATE(Tabla1[[#This Row],[OBRA]],"/",Tabla1[[#This Row],[CODIGO ENSAYO]])</f>
        <v>13-1/1-1</v>
      </c>
      <c r="K532" s="2" t="str">
        <f>UPPER(TEXT(Tabla1[[#This Row],[FECHA INF]],"MMMM"))</f>
        <v>NOVIEMBRE</v>
      </c>
      <c r="L53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0584-23</v>
      </c>
    </row>
    <row r="533" spans="1:12" hidden="1" x14ac:dyDescent="0.25">
      <c r="A533" s="52">
        <v>45260</v>
      </c>
      <c r="B533" s="27" t="s">
        <v>11</v>
      </c>
      <c r="C533" s="2" t="s">
        <v>1418</v>
      </c>
      <c r="D533" s="2">
        <v>1</v>
      </c>
      <c r="E533" s="27" t="s">
        <v>123</v>
      </c>
      <c r="F533" t="s">
        <v>15</v>
      </c>
      <c r="G533" s="47"/>
      <c r="H533" s="102"/>
      <c r="I533" s="63"/>
      <c r="J533" t="str">
        <f>CONCATENATE(Tabla1[[#This Row],[OBRA]],"/",Tabla1[[#This Row],[CODIGO ENSAYO]])</f>
        <v>13-1/1-1</v>
      </c>
      <c r="K533" s="2" t="str">
        <f>UPPER(TEXT(Tabla1[[#This Row],[FECHA INF]],"MMMM"))</f>
        <v>NOVIEMBRE</v>
      </c>
      <c r="L53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0586-23</v>
      </c>
    </row>
    <row r="534" spans="1:12" hidden="1" x14ac:dyDescent="0.25">
      <c r="A534" s="52">
        <v>45260</v>
      </c>
      <c r="B534" s="27" t="s">
        <v>11</v>
      </c>
      <c r="C534" s="2" t="s">
        <v>1419</v>
      </c>
      <c r="D534" s="2">
        <v>1</v>
      </c>
      <c r="E534" s="27" t="s">
        <v>123</v>
      </c>
      <c r="F534" t="s">
        <v>15</v>
      </c>
      <c r="G534" s="47"/>
      <c r="H534" s="102"/>
      <c r="I534" s="63"/>
      <c r="J534" t="str">
        <f>CONCATENATE(Tabla1[[#This Row],[OBRA]],"/",Tabla1[[#This Row],[CODIGO ENSAYO]])</f>
        <v>13-1/1-1</v>
      </c>
      <c r="K534" s="2" t="str">
        <f>UPPER(TEXT(Tabla1[[#This Row],[FECHA INF]],"MMMM"))</f>
        <v>NOVIEMBRE</v>
      </c>
      <c r="L53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0588-23</v>
      </c>
    </row>
    <row r="535" spans="1:12" hidden="1" x14ac:dyDescent="0.25">
      <c r="A535" s="52">
        <v>45260</v>
      </c>
      <c r="B535" s="27" t="s">
        <v>11</v>
      </c>
      <c r="C535" s="2" t="s">
        <v>1420</v>
      </c>
      <c r="D535" s="2">
        <v>1</v>
      </c>
      <c r="E535" s="27" t="s">
        <v>123</v>
      </c>
      <c r="F535" t="s">
        <v>15</v>
      </c>
      <c r="G535" s="47"/>
      <c r="H535" s="102"/>
      <c r="I535" s="63"/>
      <c r="J535" t="str">
        <f>CONCATENATE(Tabla1[[#This Row],[OBRA]],"/",Tabla1[[#This Row],[CODIGO ENSAYO]])</f>
        <v>13-1/1-1</v>
      </c>
      <c r="K535" s="2" t="str">
        <f>UPPER(TEXT(Tabla1[[#This Row],[FECHA INF]],"MMMM"))</f>
        <v>NOVIEMBRE</v>
      </c>
      <c r="L53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0590-23</v>
      </c>
    </row>
    <row r="536" spans="1:12" hidden="1" x14ac:dyDescent="0.25">
      <c r="A536" s="52">
        <v>45260</v>
      </c>
      <c r="B536" s="27" t="s">
        <v>11</v>
      </c>
      <c r="C536" s="2" t="s">
        <v>1421</v>
      </c>
      <c r="D536" s="2">
        <v>2</v>
      </c>
      <c r="E536" s="27" t="s">
        <v>123</v>
      </c>
      <c r="F536" t="s">
        <v>15</v>
      </c>
      <c r="G536" s="47"/>
      <c r="H536" s="102"/>
      <c r="I536" s="63"/>
      <c r="J536" t="str">
        <f>CONCATENATE(Tabla1[[#This Row],[OBRA]],"/",Tabla1[[#This Row],[CODIGO ENSAYO]])</f>
        <v>13-1/1-1</v>
      </c>
      <c r="K536" s="2" t="str">
        <f>UPPER(TEXT(Tabla1[[#This Row],[FECHA INF]],"MMMM"))</f>
        <v>NOVIEMBRE</v>
      </c>
      <c r="L53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0596-23</v>
      </c>
    </row>
    <row r="537" spans="1:12" hidden="1" x14ac:dyDescent="0.25">
      <c r="A537" s="52">
        <v>45260</v>
      </c>
      <c r="B537" s="27" t="s">
        <v>11</v>
      </c>
      <c r="C537" s="2" t="s">
        <v>1422</v>
      </c>
      <c r="D537" s="2">
        <v>2</v>
      </c>
      <c r="E537" s="27" t="s">
        <v>123</v>
      </c>
      <c r="F537" t="s">
        <v>15</v>
      </c>
      <c r="G537" s="47"/>
      <c r="H537" s="102"/>
      <c r="I537" s="63"/>
      <c r="J537" t="str">
        <f>CONCATENATE(Tabla1[[#This Row],[OBRA]],"/",Tabla1[[#This Row],[CODIGO ENSAYO]])</f>
        <v>13-1/1-1</v>
      </c>
      <c r="K537" s="2" t="str">
        <f>UPPER(TEXT(Tabla1[[#This Row],[FECHA INF]],"MMMM"))</f>
        <v>NOVIEMBRE</v>
      </c>
      <c r="L53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0610-23</v>
      </c>
    </row>
    <row r="538" spans="1:12" hidden="1" x14ac:dyDescent="0.25">
      <c r="A538" s="52">
        <v>45260</v>
      </c>
      <c r="B538" s="27" t="s">
        <v>11</v>
      </c>
      <c r="C538" s="2" t="s">
        <v>1423</v>
      </c>
      <c r="D538" s="2">
        <v>4</v>
      </c>
      <c r="E538" s="27" t="s">
        <v>123</v>
      </c>
      <c r="F538" t="s">
        <v>15</v>
      </c>
      <c r="G538" s="47"/>
      <c r="H538" s="102"/>
      <c r="I538" s="63"/>
      <c r="J538" t="str">
        <f>CONCATENATE(Tabla1[[#This Row],[OBRA]],"/",Tabla1[[#This Row],[CODIGO ENSAYO]])</f>
        <v>13-1/1-1</v>
      </c>
      <c r="K538" s="2" t="str">
        <f>UPPER(TEXT(Tabla1[[#This Row],[FECHA INF]],"MMMM"))</f>
        <v>NOVIEMBRE</v>
      </c>
      <c r="L53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0612-23</v>
      </c>
    </row>
    <row r="539" spans="1:12" hidden="1" x14ac:dyDescent="0.25">
      <c r="A539" s="52">
        <v>45260</v>
      </c>
      <c r="B539" s="27" t="s">
        <v>11</v>
      </c>
      <c r="C539" s="2" t="s">
        <v>1424</v>
      </c>
      <c r="D539" s="2">
        <v>2</v>
      </c>
      <c r="E539" s="27" t="s">
        <v>123</v>
      </c>
      <c r="F539" t="s">
        <v>15</v>
      </c>
      <c r="G539" s="47"/>
      <c r="H539" s="102"/>
      <c r="I539" s="63"/>
      <c r="J539" t="str">
        <f>CONCATENATE(Tabla1[[#This Row],[OBRA]],"/",Tabla1[[#This Row],[CODIGO ENSAYO]])</f>
        <v>13-1/1-1</v>
      </c>
      <c r="K539" s="2" t="str">
        <f>UPPER(TEXT(Tabla1[[#This Row],[FECHA INF]],"MMMM"))</f>
        <v>NOVIEMBRE</v>
      </c>
      <c r="L53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0615-23</v>
      </c>
    </row>
    <row r="540" spans="1:12" hidden="1" x14ac:dyDescent="0.25">
      <c r="A540" s="52">
        <v>45260</v>
      </c>
      <c r="B540" s="27" t="s">
        <v>11</v>
      </c>
      <c r="C540" s="2" t="s">
        <v>1425</v>
      </c>
      <c r="D540" s="2">
        <v>1</v>
      </c>
      <c r="E540" s="27" t="s">
        <v>123</v>
      </c>
      <c r="F540" t="s">
        <v>15</v>
      </c>
      <c r="G540" s="47"/>
      <c r="H540" s="102"/>
      <c r="I540" s="63"/>
      <c r="J540" t="str">
        <f>CONCATENATE(Tabla1[[#This Row],[OBRA]],"/",Tabla1[[#This Row],[CODIGO ENSAYO]])</f>
        <v>13-1/1-1</v>
      </c>
      <c r="K540" s="2" t="str">
        <f>UPPER(TEXT(Tabla1[[#This Row],[FECHA INF]],"MMMM"))</f>
        <v>NOVIEMBRE</v>
      </c>
      <c r="L54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0617-23</v>
      </c>
    </row>
    <row r="541" spans="1:12" hidden="1" x14ac:dyDescent="0.25">
      <c r="A541" s="52">
        <v>45260</v>
      </c>
      <c r="B541" s="27" t="s">
        <v>11</v>
      </c>
      <c r="C541" s="2" t="s">
        <v>1398</v>
      </c>
      <c r="D541" s="2">
        <v>5</v>
      </c>
      <c r="E541" s="27" t="s">
        <v>455</v>
      </c>
      <c r="F541" t="s">
        <v>456</v>
      </c>
      <c r="G541" s="47"/>
      <c r="H541" s="102"/>
      <c r="I541" s="63"/>
      <c r="J541" t="str">
        <f>CONCATENATE(Tabla1[[#This Row],[OBRA]],"/",Tabla1[[#This Row],[CODIGO ENSAYO]])</f>
        <v>13-1/2-5-1</v>
      </c>
      <c r="K541" s="2" t="str">
        <f>UPPER(TEXT(Tabla1[[#This Row],[FECHA INF]],"MMMM"))</f>
        <v>NOVIEMBRE</v>
      </c>
      <c r="L54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0618-23</v>
      </c>
    </row>
    <row r="542" spans="1:12" hidden="1" x14ac:dyDescent="0.25">
      <c r="A542" s="52">
        <v>45260</v>
      </c>
      <c r="B542" s="27" t="s">
        <v>11</v>
      </c>
      <c r="C542" s="2" t="s">
        <v>1399</v>
      </c>
      <c r="D542" s="2">
        <v>4</v>
      </c>
      <c r="E542" s="27" t="s">
        <v>141</v>
      </c>
      <c r="F542" t="s">
        <v>437</v>
      </c>
      <c r="G542" s="47"/>
      <c r="H542" s="102"/>
      <c r="I542" s="63"/>
      <c r="J542" t="str">
        <f>CONCATENATE(Tabla1[[#This Row],[OBRA]],"/",Tabla1[[#This Row],[CODIGO ENSAYO]])</f>
        <v>13-1/2-5</v>
      </c>
      <c r="K542" s="2" t="str">
        <f>UPPER(TEXT(Tabla1[[#This Row],[FECHA INF]],"MMMM"))</f>
        <v>NOVIEMBRE</v>
      </c>
      <c r="L54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0619-23</v>
      </c>
    </row>
    <row r="543" spans="1:12" hidden="1" x14ac:dyDescent="0.25">
      <c r="A543" s="52">
        <v>45260</v>
      </c>
      <c r="B543" s="27" t="s">
        <v>11</v>
      </c>
      <c r="C543" s="2" t="s">
        <v>1400</v>
      </c>
      <c r="D543" s="2">
        <v>3</v>
      </c>
      <c r="E543" s="27" t="s">
        <v>141</v>
      </c>
      <c r="F543" t="s">
        <v>437</v>
      </c>
      <c r="G543" s="47"/>
      <c r="H543" s="102"/>
      <c r="I543" s="63"/>
      <c r="J543" t="str">
        <f>CONCATENATE(Tabla1[[#This Row],[OBRA]],"/",Tabla1[[#This Row],[CODIGO ENSAYO]])</f>
        <v>13-1/2-5</v>
      </c>
      <c r="K543" s="2" t="str">
        <f>UPPER(TEXT(Tabla1[[#This Row],[FECHA INF]],"MMMM"))</f>
        <v>NOVIEMBRE</v>
      </c>
      <c r="L54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0620-23</v>
      </c>
    </row>
    <row r="544" spans="1:12" hidden="1" x14ac:dyDescent="0.25">
      <c r="A544" s="52">
        <v>45260</v>
      </c>
      <c r="B544" s="27" t="s">
        <v>11</v>
      </c>
      <c r="C544" s="2" t="s">
        <v>1401</v>
      </c>
      <c r="D544" s="2">
        <v>5</v>
      </c>
      <c r="E544" s="27" t="s">
        <v>455</v>
      </c>
      <c r="F544" t="s">
        <v>456</v>
      </c>
      <c r="G544" s="47"/>
      <c r="H544" s="102"/>
      <c r="I544" s="63"/>
      <c r="J544" t="str">
        <f>CONCATENATE(Tabla1[[#This Row],[OBRA]],"/",Tabla1[[#This Row],[CODIGO ENSAYO]])</f>
        <v>13-1/2-5-1</v>
      </c>
      <c r="K544" s="2" t="str">
        <f>UPPER(TEXT(Tabla1[[#This Row],[FECHA INF]],"MMMM"))</f>
        <v>NOVIEMBRE</v>
      </c>
      <c r="L54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0621-23</v>
      </c>
    </row>
    <row r="545" spans="1:12" hidden="1" x14ac:dyDescent="0.25">
      <c r="A545" s="52">
        <v>45260</v>
      </c>
      <c r="B545" s="27" t="s">
        <v>11</v>
      </c>
      <c r="C545" s="2" t="s">
        <v>1402</v>
      </c>
      <c r="D545" s="2">
        <v>2</v>
      </c>
      <c r="E545" s="27" t="s">
        <v>141</v>
      </c>
      <c r="F545" t="s">
        <v>437</v>
      </c>
      <c r="G545" s="47"/>
      <c r="H545" s="102"/>
      <c r="I545" s="63"/>
      <c r="J545" t="str">
        <f>CONCATENATE(Tabla1[[#This Row],[OBRA]],"/",Tabla1[[#This Row],[CODIGO ENSAYO]])</f>
        <v>13-1/2-5</v>
      </c>
      <c r="K545" s="2" t="str">
        <f>UPPER(TEXT(Tabla1[[#This Row],[FECHA INF]],"MMMM"))</f>
        <v>NOVIEMBRE</v>
      </c>
      <c r="L54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0622-23</v>
      </c>
    </row>
    <row r="546" spans="1:12" hidden="1" x14ac:dyDescent="0.25">
      <c r="A546" s="52">
        <v>45260</v>
      </c>
      <c r="B546" s="27" t="s">
        <v>11</v>
      </c>
      <c r="C546" s="2" t="s">
        <v>1403</v>
      </c>
      <c r="D546" s="2">
        <v>5</v>
      </c>
      <c r="E546" s="27" t="s">
        <v>455</v>
      </c>
      <c r="F546" t="s">
        <v>456</v>
      </c>
      <c r="G546" s="47"/>
      <c r="H546" s="102"/>
      <c r="I546" s="63"/>
      <c r="J546" t="str">
        <f>CONCATENATE(Tabla1[[#This Row],[OBRA]],"/",Tabla1[[#This Row],[CODIGO ENSAYO]])</f>
        <v>13-1/2-5-1</v>
      </c>
      <c r="K546" s="2" t="str">
        <f>UPPER(TEXT(Tabla1[[#This Row],[FECHA INF]],"MMMM"))</f>
        <v>NOVIEMBRE</v>
      </c>
      <c r="L54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0623-23</v>
      </c>
    </row>
    <row r="547" spans="1:12" hidden="1" x14ac:dyDescent="0.25">
      <c r="A547" s="52">
        <v>45260</v>
      </c>
      <c r="B547" s="27" t="s">
        <v>11</v>
      </c>
      <c r="C547" s="2" t="s">
        <v>1404</v>
      </c>
      <c r="D547" s="2">
        <v>1</v>
      </c>
      <c r="E547" s="27" t="s">
        <v>137</v>
      </c>
      <c r="F547" t="s">
        <v>240</v>
      </c>
      <c r="G547" s="47"/>
      <c r="H547" s="102"/>
      <c r="I547" s="63"/>
      <c r="J547" t="str">
        <f>CONCATENATE(Tabla1[[#This Row],[OBRA]],"/",Tabla1[[#This Row],[CODIGO ENSAYO]])</f>
        <v>13-1/2-1</v>
      </c>
      <c r="K547" s="2" t="str">
        <f>UPPER(TEXT(Tabla1[[#This Row],[FECHA INF]],"MMMM"))</f>
        <v>NOVIEMBRE</v>
      </c>
      <c r="L54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0624-23</v>
      </c>
    </row>
    <row r="548" spans="1:12" hidden="1" x14ac:dyDescent="0.25">
      <c r="A548" s="52">
        <v>45260</v>
      </c>
      <c r="B548" s="27" t="s">
        <v>11</v>
      </c>
      <c r="C548" s="2" t="s">
        <v>1404</v>
      </c>
      <c r="D548" s="2">
        <v>1</v>
      </c>
      <c r="E548" s="27" t="s">
        <v>138</v>
      </c>
      <c r="F548" t="s">
        <v>23</v>
      </c>
      <c r="G548" s="47"/>
      <c r="H548" s="102"/>
      <c r="I548" s="63"/>
      <c r="J548" t="str">
        <f>CONCATENATE(Tabla1[[#This Row],[OBRA]],"/",Tabla1[[#This Row],[CODIGO ENSAYO]])</f>
        <v>13-1/2-2</v>
      </c>
      <c r="K548" s="2" t="str">
        <f>UPPER(TEXT(Tabla1[[#This Row],[FECHA INF]],"MMMM"))</f>
        <v>NOVIEMBRE</v>
      </c>
      <c r="L54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0624-23</v>
      </c>
    </row>
    <row r="549" spans="1:12" hidden="1" x14ac:dyDescent="0.25">
      <c r="A549" s="52">
        <v>45260</v>
      </c>
      <c r="B549" s="27" t="s">
        <v>11</v>
      </c>
      <c r="C549" s="2" t="s">
        <v>1404</v>
      </c>
      <c r="D549" s="2">
        <v>1</v>
      </c>
      <c r="E549" s="27" t="s">
        <v>139</v>
      </c>
      <c r="F549" t="s">
        <v>468</v>
      </c>
      <c r="G549" s="47"/>
      <c r="H549" s="102"/>
      <c r="I549" s="63"/>
      <c r="J549" t="str">
        <f>CONCATENATE(Tabla1[[#This Row],[OBRA]],"/",Tabla1[[#This Row],[CODIGO ENSAYO]])</f>
        <v>13-1/2-3</v>
      </c>
      <c r="K549" s="2" t="str">
        <f>UPPER(TEXT(Tabla1[[#This Row],[FECHA INF]],"MMMM"))</f>
        <v>NOVIEMBRE</v>
      </c>
      <c r="L54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0624-23</v>
      </c>
    </row>
    <row r="550" spans="1:12" hidden="1" x14ac:dyDescent="0.25">
      <c r="A550" s="52">
        <v>45260</v>
      </c>
      <c r="B550" s="27" t="s">
        <v>11</v>
      </c>
      <c r="C550" s="2" t="s">
        <v>1405</v>
      </c>
      <c r="D550" s="2">
        <v>1</v>
      </c>
      <c r="E550" s="27" t="s">
        <v>137</v>
      </c>
      <c r="F550" t="s">
        <v>240</v>
      </c>
      <c r="G550" s="47"/>
      <c r="H550" s="102"/>
      <c r="I550" s="63"/>
      <c r="J550" t="str">
        <f>CONCATENATE(Tabla1[[#This Row],[OBRA]],"/",Tabla1[[#This Row],[CODIGO ENSAYO]])</f>
        <v>13-1/2-1</v>
      </c>
      <c r="K550" s="2" t="str">
        <f>UPPER(TEXT(Tabla1[[#This Row],[FECHA INF]],"MMMM"))</f>
        <v>NOVIEMBRE</v>
      </c>
      <c r="L55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0625-23</v>
      </c>
    </row>
    <row r="551" spans="1:12" hidden="1" x14ac:dyDescent="0.25">
      <c r="A551" s="52">
        <v>45260</v>
      </c>
      <c r="B551" s="27" t="s">
        <v>11</v>
      </c>
      <c r="C551" s="2" t="s">
        <v>1405</v>
      </c>
      <c r="D551" s="2">
        <v>1</v>
      </c>
      <c r="E551" s="27" t="s">
        <v>138</v>
      </c>
      <c r="F551" t="s">
        <v>23</v>
      </c>
      <c r="G551" s="47"/>
      <c r="H551" s="102"/>
      <c r="I551" s="63"/>
      <c r="J551" t="str">
        <f>CONCATENATE(Tabla1[[#This Row],[OBRA]],"/",Tabla1[[#This Row],[CODIGO ENSAYO]])</f>
        <v>13-1/2-2</v>
      </c>
      <c r="K551" s="2" t="str">
        <f>UPPER(TEXT(Tabla1[[#This Row],[FECHA INF]],"MMMM"))</f>
        <v>NOVIEMBRE</v>
      </c>
      <c r="L55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0625-23</v>
      </c>
    </row>
    <row r="552" spans="1:12" hidden="1" x14ac:dyDescent="0.25">
      <c r="A552" s="52">
        <v>45260</v>
      </c>
      <c r="B552" s="27" t="s">
        <v>11</v>
      </c>
      <c r="C552" s="2" t="s">
        <v>1405</v>
      </c>
      <c r="D552" s="2">
        <v>1</v>
      </c>
      <c r="E552" s="27" t="s">
        <v>139</v>
      </c>
      <c r="F552" t="s">
        <v>468</v>
      </c>
      <c r="G552" s="47"/>
      <c r="H552" s="102"/>
      <c r="I552" s="63"/>
      <c r="J552" t="str">
        <f>CONCATENATE(Tabla1[[#This Row],[OBRA]],"/",Tabla1[[#This Row],[CODIGO ENSAYO]])</f>
        <v>13-1/2-3</v>
      </c>
      <c r="K552" s="2" t="str">
        <f>UPPER(TEXT(Tabla1[[#This Row],[FECHA INF]],"MMMM"))</f>
        <v>NOVIEMBRE</v>
      </c>
      <c r="L55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0625-23</v>
      </c>
    </row>
    <row r="553" spans="1:12" hidden="1" x14ac:dyDescent="0.25">
      <c r="A553" s="52">
        <v>45260</v>
      </c>
      <c r="B553" s="27" t="s">
        <v>11</v>
      </c>
      <c r="C553" s="2" t="s">
        <v>1426</v>
      </c>
      <c r="D553" s="2">
        <v>3</v>
      </c>
      <c r="E553" s="27" t="s">
        <v>123</v>
      </c>
      <c r="F553" t="s">
        <v>15</v>
      </c>
      <c r="G553" s="47"/>
      <c r="H553" s="102"/>
      <c r="I553" s="63"/>
      <c r="J553" t="str">
        <f>CONCATENATE(Tabla1[[#This Row],[OBRA]],"/",Tabla1[[#This Row],[CODIGO ENSAYO]])</f>
        <v>13-1/1-1</v>
      </c>
      <c r="K553" s="2" t="str">
        <f>UPPER(TEXT(Tabla1[[#This Row],[FECHA INF]],"MMMM"))</f>
        <v>NOVIEMBRE</v>
      </c>
      <c r="L55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0631-23</v>
      </c>
    </row>
    <row r="554" spans="1:12" hidden="1" x14ac:dyDescent="0.25">
      <c r="A554" s="52">
        <v>45260</v>
      </c>
      <c r="B554" s="27" t="s">
        <v>11</v>
      </c>
      <c r="C554" s="2" t="s">
        <v>1427</v>
      </c>
      <c r="D554" s="2">
        <v>1</v>
      </c>
      <c r="E554" s="27" t="s">
        <v>123</v>
      </c>
      <c r="F554" t="s">
        <v>15</v>
      </c>
      <c r="G554" s="47"/>
      <c r="H554" s="102"/>
      <c r="I554" s="63"/>
      <c r="J554" t="str">
        <f>CONCATENATE(Tabla1[[#This Row],[OBRA]],"/",Tabla1[[#This Row],[CODIGO ENSAYO]])</f>
        <v>13-1/1-1</v>
      </c>
      <c r="K554" s="2" t="str">
        <f>UPPER(TEXT(Tabla1[[#This Row],[FECHA INF]],"MMMM"))</f>
        <v>NOVIEMBRE</v>
      </c>
      <c r="L55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0635-23</v>
      </c>
    </row>
    <row r="555" spans="1:12" hidden="1" x14ac:dyDescent="0.25">
      <c r="A555" s="52">
        <v>45261</v>
      </c>
      <c r="B555" s="27" t="s">
        <v>854</v>
      </c>
      <c r="C555" s="2">
        <v>1</v>
      </c>
      <c r="D555" s="2">
        <v>2</v>
      </c>
      <c r="E555" s="27" t="s">
        <v>224</v>
      </c>
      <c r="F555" t="s">
        <v>785</v>
      </c>
      <c r="G555" s="47"/>
      <c r="H555" s="102"/>
      <c r="I555" s="63" t="s">
        <v>1005</v>
      </c>
      <c r="J555" t="str">
        <f>CONCATENATE(Tabla1[[#This Row],[OBRA]],"/",Tabla1[[#This Row],[CODIGO ENSAYO]])</f>
        <v>8-1/13-2</v>
      </c>
      <c r="K555" s="2" t="str">
        <f>UPPER(TEXT(Tabla1[[#This Row],[FECHA INF]],"MMMM"))</f>
        <v>DICIEMBRE</v>
      </c>
      <c r="L55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1/1/1900</v>
      </c>
    </row>
    <row r="556" spans="1:12" hidden="1" x14ac:dyDescent="0.25">
      <c r="A556" s="52">
        <v>45261</v>
      </c>
      <c r="B556" s="27" t="s">
        <v>854</v>
      </c>
      <c r="C556" s="2">
        <v>1</v>
      </c>
      <c r="D556" s="2">
        <v>2</v>
      </c>
      <c r="E556" s="27" t="s">
        <v>226</v>
      </c>
      <c r="F556" t="s">
        <v>787</v>
      </c>
      <c r="G556" s="47"/>
      <c r="H556" s="102"/>
      <c r="I556" s="63" t="s">
        <v>1005</v>
      </c>
      <c r="J556" t="str">
        <f>CONCATENATE(Tabla1[[#This Row],[OBRA]],"/",Tabla1[[#This Row],[CODIGO ENSAYO]])</f>
        <v>8-1/13-4</v>
      </c>
      <c r="K556" s="2" t="str">
        <f>UPPER(TEXT(Tabla1[[#This Row],[FECHA INF]],"MMMM"))</f>
        <v>DICIEMBRE</v>
      </c>
      <c r="L55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1/1/1900</v>
      </c>
    </row>
    <row r="557" spans="1:12" hidden="1" x14ac:dyDescent="0.25">
      <c r="A557" s="52">
        <v>45261</v>
      </c>
      <c r="B557" s="27" t="s">
        <v>854</v>
      </c>
      <c r="C557" s="2">
        <v>2</v>
      </c>
      <c r="D557" s="2">
        <v>2</v>
      </c>
      <c r="E557" s="27" t="s">
        <v>224</v>
      </c>
      <c r="F557" t="s">
        <v>785</v>
      </c>
      <c r="G557" s="47"/>
      <c r="H557" s="102"/>
      <c r="I557" s="63" t="s">
        <v>1005</v>
      </c>
      <c r="J557" t="str">
        <f>CONCATENATE(Tabla1[[#This Row],[OBRA]],"/",Tabla1[[#This Row],[CODIGO ENSAYO]])</f>
        <v>8-1/13-2</v>
      </c>
      <c r="K557" s="2" t="str">
        <f>UPPER(TEXT(Tabla1[[#This Row],[FECHA INF]],"MMMM"))</f>
        <v>DICIEMBRE</v>
      </c>
      <c r="L55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2/1/1900</v>
      </c>
    </row>
    <row r="558" spans="1:12" hidden="1" x14ac:dyDescent="0.25">
      <c r="A558" s="52">
        <v>45261</v>
      </c>
      <c r="B558" s="27" t="s">
        <v>854</v>
      </c>
      <c r="C558" s="2">
        <v>2</v>
      </c>
      <c r="D558" s="2">
        <v>2</v>
      </c>
      <c r="E558" s="27" t="s">
        <v>226</v>
      </c>
      <c r="F558" t="s">
        <v>787</v>
      </c>
      <c r="G558" s="47"/>
      <c r="H558" s="102"/>
      <c r="I558" s="63" t="s">
        <v>1005</v>
      </c>
      <c r="J558" t="str">
        <f>CONCATENATE(Tabla1[[#This Row],[OBRA]],"/",Tabla1[[#This Row],[CODIGO ENSAYO]])</f>
        <v>8-1/13-4</v>
      </c>
      <c r="K558" s="2" t="str">
        <f>UPPER(TEXT(Tabla1[[#This Row],[FECHA INF]],"MMMM"))</f>
        <v>DICIEMBRE</v>
      </c>
      <c r="L55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2/1/1900</v>
      </c>
    </row>
    <row r="559" spans="1:12" hidden="1" x14ac:dyDescent="0.25">
      <c r="A559" s="52">
        <v>45261</v>
      </c>
      <c r="B559" s="27" t="s">
        <v>854</v>
      </c>
      <c r="C559" s="2">
        <v>3</v>
      </c>
      <c r="D559" s="2">
        <v>2</v>
      </c>
      <c r="E559" s="27" t="s">
        <v>224</v>
      </c>
      <c r="F559" t="s">
        <v>785</v>
      </c>
      <c r="G559" s="47"/>
      <c r="H559" s="102"/>
      <c r="I559" s="63" t="s">
        <v>1005</v>
      </c>
      <c r="J559" t="str">
        <f>CONCATENATE(Tabla1[[#This Row],[OBRA]],"/",Tabla1[[#This Row],[CODIGO ENSAYO]])</f>
        <v>8-1/13-2</v>
      </c>
      <c r="K559" s="2" t="str">
        <f>UPPER(TEXT(Tabla1[[#This Row],[FECHA INF]],"MMMM"))</f>
        <v>DICIEMBRE</v>
      </c>
      <c r="L55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3/1/1900</v>
      </c>
    </row>
    <row r="560" spans="1:12" hidden="1" x14ac:dyDescent="0.25">
      <c r="A560" s="52">
        <v>45261</v>
      </c>
      <c r="B560" s="27" t="s">
        <v>854</v>
      </c>
      <c r="C560" s="2">
        <v>3</v>
      </c>
      <c r="D560" s="2">
        <v>2</v>
      </c>
      <c r="E560" s="27" t="s">
        <v>226</v>
      </c>
      <c r="F560" t="s">
        <v>787</v>
      </c>
      <c r="G560" s="47"/>
      <c r="H560" s="102"/>
      <c r="I560" s="63" t="s">
        <v>1005</v>
      </c>
      <c r="J560" t="str">
        <f>CONCATENATE(Tabla1[[#This Row],[OBRA]],"/",Tabla1[[#This Row],[CODIGO ENSAYO]])</f>
        <v>8-1/13-4</v>
      </c>
      <c r="K560" s="2" t="str">
        <f>UPPER(TEXT(Tabla1[[#This Row],[FECHA INF]],"MMMM"))</f>
        <v>DICIEMBRE</v>
      </c>
      <c r="L56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3/1/1900</v>
      </c>
    </row>
    <row r="561" spans="1:12" hidden="1" x14ac:dyDescent="0.25">
      <c r="A561" s="52">
        <v>45261</v>
      </c>
      <c r="B561" s="27" t="s">
        <v>854</v>
      </c>
      <c r="C561" s="2">
        <v>4</v>
      </c>
      <c r="D561" s="2">
        <v>2</v>
      </c>
      <c r="E561" s="27" t="s">
        <v>11</v>
      </c>
      <c r="F561" t="s">
        <v>784</v>
      </c>
      <c r="G561" s="47"/>
      <c r="H561" s="102"/>
      <c r="I561" s="63" t="s">
        <v>1005</v>
      </c>
      <c r="J561" t="str">
        <f>CONCATENATE(Tabla1[[#This Row],[OBRA]],"/",Tabla1[[#This Row],[CODIGO ENSAYO]])</f>
        <v>8-1/13-1</v>
      </c>
      <c r="K561" s="2" t="str">
        <f>UPPER(TEXT(Tabla1[[#This Row],[FECHA INF]],"MMMM"))</f>
        <v>DICIEMBRE</v>
      </c>
      <c r="L56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4/1/1900</v>
      </c>
    </row>
    <row r="562" spans="1:12" hidden="1" x14ac:dyDescent="0.25">
      <c r="A562" s="52">
        <v>45261</v>
      </c>
      <c r="B562" s="27" t="s">
        <v>854</v>
      </c>
      <c r="C562" s="2">
        <v>4</v>
      </c>
      <c r="D562" s="2">
        <v>2</v>
      </c>
      <c r="E562" s="27" t="s">
        <v>224</v>
      </c>
      <c r="F562" t="s">
        <v>785</v>
      </c>
      <c r="G562" s="47"/>
      <c r="H562" s="102"/>
      <c r="I562" s="63" t="s">
        <v>1005</v>
      </c>
      <c r="J562" t="str">
        <f>CONCATENATE(Tabla1[[#This Row],[OBRA]],"/",Tabla1[[#This Row],[CODIGO ENSAYO]])</f>
        <v>8-1/13-2</v>
      </c>
      <c r="K562" s="2" t="str">
        <f>UPPER(TEXT(Tabla1[[#This Row],[FECHA INF]],"MMMM"))</f>
        <v>DICIEMBRE</v>
      </c>
      <c r="L56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4/1/1900</v>
      </c>
    </row>
    <row r="563" spans="1:12" hidden="1" x14ac:dyDescent="0.25">
      <c r="A563" s="52">
        <v>45261</v>
      </c>
      <c r="B563" s="27" t="s">
        <v>854</v>
      </c>
      <c r="C563" s="2">
        <v>5</v>
      </c>
      <c r="D563" s="2">
        <v>2</v>
      </c>
      <c r="E563" s="27" t="s">
        <v>11</v>
      </c>
      <c r="F563" t="s">
        <v>784</v>
      </c>
      <c r="G563" s="47"/>
      <c r="H563" s="102"/>
      <c r="I563" s="63" t="s">
        <v>1005</v>
      </c>
      <c r="J563" t="str">
        <f>CONCATENATE(Tabla1[[#This Row],[OBRA]],"/",Tabla1[[#This Row],[CODIGO ENSAYO]])</f>
        <v>8-1/13-1</v>
      </c>
      <c r="K563" s="2" t="str">
        <f>UPPER(TEXT(Tabla1[[#This Row],[FECHA INF]],"MMMM"))</f>
        <v>DICIEMBRE</v>
      </c>
      <c r="L56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5/1/1900</v>
      </c>
    </row>
    <row r="564" spans="1:12" hidden="1" x14ac:dyDescent="0.25">
      <c r="A564" s="52">
        <v>45261</v>
      </c>
      <c r="B564" s="27" t="s">
        <v>854</v>
      </c>
      <c r="C564" s="2">
        <v>5</v>
      </c>
      <c r="D564" s="2">
        <v>2</v>
      </c>
      <c r="E564" s="27" t="s">
        <v>224</v>
      </c>
      <c r="F564" t="s">
        <v>785</v>
      </c>
      <c r="G564" s="47"/>
      <c r="H564" s="102"/>
      <c r="I564" s="63" t="s">
        <v>1005</v>
      </c>
      <c r="J564" t="str">
        <f>CONCATENATE(Tabla1[[#This Row],[OBRA]],"/",Tabla1[[#This Row],[CODIGO ENSAYO]])</f>
        <v>8-1/13-2</v>
      </c>
      <c r="K564" s="2" t="str">
        <f>UPPER(TEXT(Tabla1[[#This Row],[FECHA INF]],"MMMM"))</f>
        <v>DICIEMBRE</v>
      </c>
      <c r="L56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5/1/1900</v>
      </c>
    </row>
    <row r="565" spans="1:12" hidden="1" x14ac:dyDescent="0.25">
      <c r="A565" s="52">
        <v>45261</v>
      </c>
      <c r="B565" s="27" t="s">
        <v>854</v>
      </c>
      <c r="C565" s="2">
        <v>6</v>
      </c>
      <c r="D565" s="2">
        <v>1</v>
      </c>
      <c r="E565" s="27" t="s">
        <v>421</v>
      </c>
      <c r="F565" t="s">
        <v>788</v>
      </c>
      <c r="G565" s="47"/>
      <c r="H565" s="102"/>
      <c r="I565" s="63" t="s">
        <v>1005</v>
      </c>
      <c r="J565" t="str">
        <f>CONCATENATE(Tabla1[[#This Row],[OBRA]],"/",Tabla1[[#This Row],[CODIGO ENSAYO]])</f>
        <v>8-1/13-7</v>
      </c>
      <c r="K565" s="2" t="str">
        <f>UPPER(TEXT(Tabla1[[#This Row],[FECHA INF]],"MMMM"))</f>
        <v>DICIEMBRE</v>
      </c>
      <c r="L56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6/1/1900</v>
      </c>
    </row>
    <row r="566" spans="1:12" hidden="1" x14ac:dyDescent="0.25">
      <c r="A566" s="52">
        <v>45261</v>
      </c>
      <c r="B566" s="27" t="s">
        <v>854</v>
      </c>
      <c r="C566" s="2">
        <v>6</v>
      </c>
      <c r="D566" s="2">
        <v>1</v>
      </c>
      <c r="E566" s="27" t="s">
        <v>491</v>
      </c>
      <c r="F566" t="s">
        <v>492</v>
      </c>
      <c r="G566" s="47"/>
      <c r="H566" s="102"/>
      <c r="I566" s="63" t="s">
        <v>1005</v>
      </c>
      <c r="J566" t="str">
        <f>CONCATENATE(Tabla1[[#This Row],[OBRA]],"/",Tabla1[[#This Row],[CODIGO ENSAYO]])</f>
        <v>8-1/13-8</v>
      </c>
      <c r="K566" s="2" t="str">
        <f>UPPER(TEXT(Tabla1[[#This Row],[FECHA INF]],"MMMM"))</f>
        <v>DICIEMBRE</v>
      </c>
      <c r="L56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6/1/1900</v>
      </c>
    </row>
    <row r="567" spans="1:12" hidden="1" x14ac:dyDescent="0.25">
      <c r="A567" s="52">
        <v>45261</v>
      </c>
      <c r="B567" s="27" t="s">
        <v>854</v>
      </c>
      <c r="C567" s="2">
        <v>7</v>
      </c>
      <c r="D567" s="2">
        <v>1</v>
      </c>
      <c r="E567" s="27" t="s">
        <v>226</v>
      </c>
      <c r="F567" t="s">
        <v>787</v>
      </c>
      <c r="G567" s="47"/>
      <c r="H567" s="102"/>
      <c r="I567" s="63" t="s">
        <v>1005</v>
      </c>
      <c r="J567" t="str">
        <f>CONCATENATE(Tabla1[[#This Row],[OBRA]],"/",Tabla1[[#This Row],[CODIGO ENSAYO]])</f>
        <v>8-1/13-4</v>
      </c>
      <c r="K567" s="2" t="str">
        <f>UPPER(TEXT(Tabla1[[#This Row],[FECHA INF]],"MMMM"))</f>
        <v>DICIEMBRE</v>
      </c>
      <c r="L56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7/1/1900</v>
      </c>
    </row>
    <row r="568" spans="1:12" hidden="1" x14ac:dyDescent="0.25">
      <c r="A568" s="52">
        <v>45261</v>
      </c>
      <c r="B568" s="27" t="s">
        <v>854</v>
      </c>
      <c r="C568" s="2">
        <v>7</v>
      </c>
      <c r="D568" s="2">
        <v>1</v>
      </c>
      <c r="E568" s="27" t="s">
        <v>421</v>
      </c>
      <c r="F568" t="s">
        <v>788</v>
      </c>
      <c r="G568" s="47"/>
      <c r="H568" s="102"/>
      <c r="I568" s="63" t="s">
        <v>1005</v>
      </c>
      <c r="J568" t="str">
        <f>CONCATENATE(Tabla1[[#This Row],[OBRA]],"/",Tabla1[[#This Row],[CODIGO ENSAYO]])</f>
        <v>8-1/13-7</v>
      </c>
      <c r="K568" s="2" t="str">
        <f>UPPER(TEXT(Tabla1[[#This Row],[FECHA INF]],"MMMM"))</f>
        <v>DICIEMBRE</v>
      </c>
      <c r="L56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7/1/1900</v>
      </c>
    </row>
    <row r="569" spans="1:12" hidden="1" x14ac:dyDescent="0.25">
      <c r="A569" s="52">
        <v>45261</v>
      </c>
      <c r="B569" s="27" t="s">
        <v>854</v>
      </c>
      <c r="C569" s="2">
        <v>8</v>
      </c>
      <c r="D569" s="2">
        <v>1</v>
      </c>
      <c r="E569" s="27" t="s">
        <v>491</v>
      </c>
      <c r="F569" t="s">
        <v>492</v>
      </c>
      <c r="G569" s="47"/>
      <c r="H569" s="102"/>
      <c r="I569" s="63" t="s">
        <v>1005</v>
      </c>
      <c r="J569" t="str">
        <f>CONCATENATE(Tabla1[[#This Row],[OBRA]],"/",Tabla1[[#This Row],[CODIGO ENSAYO]])</f>
        <v>8-1/13-8</v>
      </c>
      <c r="K569" s="2" t="str">
        <f>UPPER(TEXT(Tabla1[[#This Row],[FECHA INF]],"MMMM"))</f>
        <v>DICIEMBRE</v>
      </c>
      <c r="L56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8/1/1900</v>
      </c>
    </row>
    <row r="570" spans="1:12" hidden="1" x14ac:dyDescent="0.25">
      <c r="A570" s="52">
        <v>45261</v>
      </c>
      <c r="B570" s="27" t="s">
        <v>854</v>
      </c>
      <c r="C570" s="2">
        <v>8</v>
      </c>
      <c r="D570" s="2">
        <v>1</v>
      </c>
      <c r="E570" s="27" t="s">
        <v>226</v>
      </c>
      <c r="F570" t="s">
        <v>787</v>
      </c>
      <c r="G570" s="47"/>
      <c r="H570" s="102"/>
      <c r="I570" s="63" t="s">
        <v>1005</v>
      </c>
      <c r="J570" t="str">
        <f>CONCATENATE(Tabla1[[#This Row],[OBRA]],"/",Tabla1[[#This Row],[CODIGO ENSAYO]])</f>
        <v>8-1/13-4</v>
      </c>
      <c r="K570" s="2" t="str">
        <f>UPPER(TEXT(Tabla1[[#This Row],[FECHA INF]],"MMMM"))</f>
        <v>DICIEMBRE</v>
      </c>
      <c r="L57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8/1/1900</v>
      </c>
    </row>
    <row r="571" spans="1:12" hidden="1" x14ac:dyDescent="0.25">
      <c r="A571" s="52">
        <v>45275</v>
      </c>
      <c r="B571" s="27" t="s">
        <v>11</v>
      </c>
      <c r="C571" s="2" t="s">
        <v>1435</v>
      </c>
      <c r="D571" s="2">
        <v>4</v>
      </c>
      <c r="E571" s="27" t="s">
        <v>149</v>
      </c>
      <c r="F571" t="s">
        <v>26</v>
      </c>
      <c r="G571" s="47"/>
      <c r="H571" s="102"/>
      <c r="I571" s="63"/>
      <c r="J571" t="str">
        <f>CONCATENATE(Tabla1[[#This Row],[OBRA]],"/",Tabla1[[#This Row],[CODIGO ENSAYO]])</f>
        <v>13-1/3-2</v>
      </c>
      <c r="K571" s="2" t="str">
        <f>UPPER(TEXT(Tabla1[[#This Row],[FECHA INF]],"MMMM"))</f>
        <v>DICIEMBRE</v>
      </c>
      <c r="L57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0626-23</v>
      </c>
    </row>
    <row r="572" spans="1:12" hidden="1" x14ac:dyDescent="0.25">
      <c r="A572" s="52">
        <v>45275</v>
      </c>
      <c r="B572" s="27" t="s">
        <v>11</v>
      </c>
      <c r="C572" s="2" t="s">
        <v>1436</v>
      </c>
      <c r="D572" s="2">
        <v>4</v>
      </c>
      <c r="E572" s="27" t="s">
        <v>149</v>
      </c>
      <c r="F572" t="s">
        <v>26</v>
      </c>
      <c r="G572" s="47"/>
      <c r="H572" s="102"/>
      <c r="I572" s="63"/>
      <c r="J572" t="str">
        <f>CONCATENATE(Tabla1[[#This Row],[OBRA]],"/",Tabla1[[#This Row],[CODIGO ENSAYO]])</f>
        <v>13-1/3-2</v>
      </c>
      <c r="K572" s="2" t="str">
        <f>UPPER(TEXT(Tabla1[[#This Row],[FECHA INF]],"MMMM"))</f>
        <v>DICIEMBRE</v>
      </c>
      <c r="L57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0628-23</v>
      </c>
    </row>
    <row r="573" spans="1:12" hidden="1" x14ac:dyDescent="0.25">
      <c r="A573" s="52">
        <v>45291</v>
      </c>
      <c r="B573" s="27" t="s">
        <v>192</v>
      </c>
      <c r="C573" s="2" t="s">
        <v>1479</v>
      </c>
      <c r="D573" s="2">
        <v>279</v>
      </c>
      <c r="E573" s="27" t="s">
        <v>881</v>
      </c>
      <c r="F573" t="s">
        <v>792</v>
      </c>
      <c r="G573" s="47"/>
      <c r="H573" s="102"/>
      <c r="I573" s="63"/>
      <c r="J573" t="str">
        <f>CONCATENATE(Tabla1[[#This Row],[OBRA]],"/",Tabla1[[#This Row],[CODIGO ENSAYO]])</f>
        <v>10-2/8-4a</v>
      </c>
      <c r="K573" s="2" t="str">
        <f>UPPER(TEXT(Tabla1[[#This Row],[FECHA INF]],"MMMM"))</f>
        <v>DICIEMBRE</v>
      </c>
      <c r="L57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(Alquiler Del 1 al 30 de Diciembre 2023)</v>
      </c>
    </row>
    <row r="574" spans="1:12" hidden="1" x14ac:dyDescent="0.25">
      <c r="A574" s="52">
        <v>45291</v>
      </c>
      <c r="B574" s="27" t="s">
        <v>12</v>
      </c>
      <c r="C574" s="2" t="s">
        <v>1438</v>
      </c>
      <c r="D574" s="2">
        <v>1</v>
      </c>
      <c r="E574" s="27" t="s">
        <v>139</v>
      </c>
      <c r="F574" t="s">
        <v>468</v>
      </c>
      <c r="G574" s="47"/>
      <c r="H574" s="102"/>
      <c r="I574" s="63"/>
      <c r="J574" t="str">
        <f>CONCATENATE(Tabla1[[#This Row],[OBRA]],"/",Tabla1[[#This Row],[CODIGO ENSAYO]])</f>
        <v>14-1/2-3</v>
      </c>
      <c r="K574" s="2" t="str">
        <f>UPPER(TEXT(Tabla1[[#This Row],[FECHA INF]],"MMMM"))</f>
        <v>DICIEMBRE</v>
      </c>
      <c r="L57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0670-23</v>
      </c>
    </row>
    <row r="575" spans="1:12" hidden="1" x14ac:dyDescent="0.25">
      <c r="A575" s="52">
        <v>45291</v>
      </c>
      <c r="B575" s="27" t="s">
        <v>12</v>
      </c>
      <c r="C575" s="2" t="s">
        <v>1439</v>
      </c>
      <c r="D575" s="2">
        <v>1</v>
      </c>
      <c r="E575" s="27" t="s">
        <v>164</v>
      </c>
      <c r="F575" t="s">
        <v>42</v>
      </c>
      <c r="G575" s="47"/>
      <c r="H575" s="102"/>
      <c r="I575" s="63"/>
      <c r="J575" t="str">
        <f>CONCATENATE(Tabla1[[#This Row],[OBRA]],"/",Tabla1[[#This Row],[CODIGO ENSAYO]])</f>
        <v>14-1/4-10</v>
      </c>
      <c r="K575" s="2" t="str">
        <f>UPPER(TEXT(Tabla1[[#This Row],[FECHA INF]],"MMMM"))</f>
        <v>DICIEMBRE</v>
      </c>
      <c r="L57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0671-23</v>
      </c>
    </row>
    <row r="576" spans="1:12" hidden="1" x14ac:dyDescent="0.25">
      <c r="A576" s="52">
        <v>45291</v>
      </c>
      <c r="B576" s="27" t="s">
        <v>12</v>
      </c>
      <c r="C576" s="2" t="s">
        <v>1439</v>
      </c>
      <c r="D576" s="2">
        <v>1</v>
      </c>
      <c r="E576" s="27" t="s">
        <v>165</v>
      </c>
      <c r="F576" t="s">
        <v>43</v>
      </c>
      <c r="G576" s="47"/>
      <c r="H576" s="102"/>
      <c r="I576" s="63"/>
      <c r="J576" t="str">
        <f>CONCATENATE(Tabla1[[#This Row],[OBRA]],"/",Tabla1[[#This Row],[CODIGO ENSAYO]])</f>
        <v>14-1/4-11</v>
      </c>
      <c r="K576" s="2" t="str">
        <f>UPPER(TEXT(Tabla1[[#This Row],[FECHA INF]],"MMMM"))</f>
        <v>DICIEMBRE</v>
      </c>
      <c r="L57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0671-23</v>
      </c>
    </row>
    <row r="577" spans="1:12" hidden="1" x14ac:dyDescent="0.25">
      <c r="A577" s="52">
        <v>45291</v>
      </c>
      <c r="B577" s="27" t="s">
        <v>12</v>
      </c>
      <c r="C577" s="2" t="s">
        <v>1440</v>
      </c>
      <c r="D577" s="2">
        <v>1</v>
      </c>
      <c r="E577" s="27" t="s">
        <v>292</v>
      </c>
      <c r="F577" t="s">
        <v>440</v>
      </c>
      <c r="G577" s="47"/>
      <c r="H577" s="102"/>
      <c r="I577" s="63"/>
      <c r="J577" t="str">
        <f>CONCATENATE(Tabla1[[#This Row],[OBRA]],"/",Tabla1[[#This Row],[CODIGO ENSAYO]])</f>
        <v>14-1/2-21</v>
      </c>
      <c r="K577" s="2" t="str">
        <f>UPPER(TEXT(Tabla1[[#This Row],[FECHA INF]],"MMMM"))</f>
        <v>DICIEMBRE</v>
      </c>
      <c r="L57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0672-23</v>
      </c>
    </row>
    <row r="578" spans="1:12" hidden="1" x14ac:dyDescent="0.25">
      <c r="A578" s="52">
        <v>45291</v>
      </c>
      <c r="B578" s="27" t="s">
        <v>12</v>
      </c>
      <c r="C578" s="2" t="s">
        <v>1441</v>
      </c>
      <c r="D578" s="2">
        <v>1</v>
      </c>
      <c r="E578" s="27" t="s">
        <v>160</v>
      </c>
      <c r="F578" t="s">
        <v>40</v>
      </c>
      <c r="G578" s="47"/>
      <c r="H578" s="102"/>
      <c r="I578" s="63"/>
      <c r="J578" t="str">
        <f>CONCATENATE(Tabla1[[#This Row],[OBRA]],"/",Tabla1[[#This Row],[CODIGO ENSAYO]])</f>
        <v>14-1/4-5</v>
      </c>
      <c r="K578" s="2" t="str">
        <f>UPPER(TEXT(Tabla1[[#This Row],[FECHA INF]],"MMMM"))</f>
        <v>DICIEMBRE</v>
      </c>
      <c r="L57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0673-23</v>
      </c>
    </row>
    <row r="579" spans="1:12" hidden="1" x14ac:dyDescent="0.25">
      <c r="A579" s="52">
        <v>45291</v>
      </c>
      <c r="B579" s="27" t="s">
        <v>12</v>
      </c>
      <c r="C579" s="2" t="s">
        <v>1442</v>
      </c>
      <c r="D579" s="2">
        <v>1</v>
      </c>
      <c r="E579" s="27" t="s">
        <v>157</v>
      </c>
      <c r="F579" t="s">
        <v>37</v>
      </c>
      <c r="G579" s="47"/>
      <c r="H579" s="102"/>
      <c r="I579" s="63"/>
      <c r="J579" t="str">
        <f>CONCATENATE(Tabla1[[#This Row],[OBRA]],"/",Tabla1[[#This Row],[CODIGO ENSAYO]])</f>
        <v>14-1/4-2</v>
      </c>
      <c r="K579" s="2" t="str">
        <f>UPPER(TEXT(Tabla1[[#This Row],[FECHA INF]],"MMMM"))</f>
        <v>DICIEMBRE</v>
      </c>
      <c r="L57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0674-23</v>
      </c>
    </row>
    <row r="580" spans="1:12" hidden="1" x14ac:dyDescent="0.25">
      <c r="A580" s="52">
        <v>45291</v>
      </c>
      <c r="B580" s="27" t="s">
        <v>12</v>
      </c>
      <c r="C580" s="2" t="s">
        <v>1443</v>
      </c>
      <c r="D580" s="2">
        <v>1</v>
      </c>
      <c r="E580" s="27" t="s">
        <v>158</v>
      </c>
      <c r="F580" t="s">
        <v>38</v>
      </c>
      <c r="G580" s="47"/>
      <c r="H580" s="102"/>
      <c r="I580" s="63"/>
      <c r="J580" t="str">
        <f>CONCATENATE(Tabla1[[#This Row],[OBRA]],"/",Tabla1[[#This Row],[CODIGO ENSAYO]])</f>
        <v>14-1/4-3</v>
      </c>
      <c r="K580" s="2" t="str">
        <f>UPPER(TEXT(Tabla1[[#This Row],[FECHA INF]],"MMMM"))</f>
        <v>DICIEMBRE</v>
      </c>
      <c r="L58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0675-23</v>
      </c>
    </row>
    <row r="581" spans="1:12" hidden="1" x14ac:dyDescent="0.25">
      <c r="A581" s="52">
        <v>45291</v>
      </c>
      <c r="B581" s="27" t="s">
        <v>12</v>
      </c>
      <c r="C581" s="2" t="s">
        <v>1444</v>
      </c>
      <c r="D581" s="2">
        <v>1</v>
      </c>
      <c r="E581" s="27" t="s">
        <v>159</v>
      </c>
      <c r="F581" t="s">
        <v>39</v>
      </c>
      <c r="G581" s="47"/>
      <c r="H581" s="102"/>
      <c r="I581" s="63"/>
      <c r="J581" t="str">
        <f>CONCATENATE(Tabla1[[#This Row],[OBRA]],"/",Tabla1[[#This Row],[CODIGO ENSAYO]])</f>
        <v>14-1/4-4</v>
      </c>
      <c r="K581" s="2" t="str">
        <f>UPPER(TEXT(Tabla1[[#This Row],[FECHA INF]],"MMMM"))</f>
        <v>DICIEMBRE</v>
      </c>
      <c r="L58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0676-23</v>
      </c>
    </row>
    <row r="582" spans="1:12" hidden="1" x14ac:dyDescent="0.25">
      <c r="A582" s="52">
        <v>45291</v>
      </c>
      <c r="B582" s="27" t="s">
        <v>12</v>
      </c>
      <c r="C582" s="2" t="s">
        <v>1445</v>
      </c>
      <c r="D582" s="2">
        <v>1</v>
      </c>
      <c r="E582" s="27" t="s">
        <v>139</v>
      </c>
      <c r="F582" t="s">
        <v>468</v>
      </c>
      <c r="G582" s="47"/>
      <c r="H582" s="102"/>
      <c r="I582" s="63"/>
      <c r="J582" t="str">
        <f>CONCATENATE(Tabla1[[#This Row],[OBRA]],"/",Tabla1[[#This Row],[CODIGO ENSAYO]])</f>
        <v>14-1/2-3</v>
      </c>
      <c r="K582" s="2" t="str">
        <f>UPPER(TEXT(Tabla1[[#This Row],[FECHA INF]],"MMMM"))</f>
        <v>DICIEMBRE</v>
      </c>
      <c r="L58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0677-23</v>
      </c>
    </row>
    <row r="583" spans="1:12" hidden="1" x14ac:dyDescent="0.25">
      <c r="A583" s="52">
        <v>45291</v>
      </c>
      <c r="B583" s="27" t="s">
        <v>12</v>
      </c>
      <c r="C583" s="2" t="s">
        <v>1446</v>
      </c>
      <c r="D583" s="2">
        <v>1</v>
      </c>
      <c r="E583" s="27" t="s">
        <v>164</v>
      </c>
      <c r="F583" t="s">
        <v>42</v>
      </c>
      <c r="G583" s="47"/>
      <c r="H583" s="102"/>
      <c r="I583" s="63"/>
      <c r="J583" t="str">
        <f>CONCATENATE(Tabla1[[#This Row],[OBRA]],"/",Tabla1[[#This Row],[CODIGO ENSAYO]])</f>
        <v>14-1/4-10</v>
      </c>
      <c r="K583" s="2" t="str">
        <f>UPPER(TEXT(Tabla1[[#This Row],[FECHA INF]],"MMMM"))</f>
        <v>DICIEMBRE</v>
      </c>
      <c r="L58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0678-23</v>
      </c>
    </row>
    <row r="584" spans="1:12" hidden="1" x14ac:dyDescent="0.25">
      <c r="A584" s="52">
        <v>45291</v>
      </c>
      <c r="B584" s="27" t="s">
        <v>12</v>
      </c>
      <c r="C584" s="2" t="s">
        <v>1446</v>
      </c>
      <c r="D584" s="2">
        <v>1</v>
      </c>
      <c r="E584" s="27" t="s">
        <v>165</v>
      </c>
      <c r="F584" t="s">
        <v>43</v>
      </c>
      <c r="G584" s="47"/>
      <c r="H584" s="102"/>
      <c r="I584" s="63"/>
      <c r="J584" t="str">
        <f>CONCATENATE(Tabla1[[#This Row],[OBRA]],"/",Tabla1[[#This Row],[CODIGO ENSAYO]])</f>
        <v>14-1/4-11</v>
      </c>
      <c r="K584" s="2" t="str">
        <f>UPPER(TEXT(Tabla1[[#This Row],[FECHA INF]],"MMMM"))</f>
        <v>DICIEMBRE</v>
      </c>
      <c r="L58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0678-23</v>
      </c>
    </row>
    <row r="585" spans="1:12" hidden="1" x14ac:dyDescent="0.25">
      <c r="A585" s="52">
        <v>45291</v>
      </c>
      <c r="B585" s="27" t="s">
        <v>12</v>
      </c>
      <c r="C585" s="2" t="s">
        <v>1447</v>
      </c>
      <c r="D585" s="2">
        <v>1</v>
      </c>
      <c r="E585" s="27" t="s">
        <v>292</v>
      </c>
      <c r="F585" t="s">
        <v>440</v>
      </c>
      <c r="G585" s="47"/>
      <c r="H585" s="102"/>
      <c r="I585" s="63"/>
      <c r="J585" t="str">
        <f>CONCATENATE(Tabla1[[#This Row],[OBRA]],"/",Tabla1[[#This Row],[CODIGO ENSAYO]])</f>
        <v>14-1/2-21</v>
      </c>
      <c r="K585" s="2" t="str">
        <f>UPPER(TEXT(Tabla1[[#This Row],[FECHA INF]],"MMMM"))</f>
        <v>DICIEMBRE</v>
      </c>
      <c r="L58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0679-23</v>
      </c>
    </row>
    <row r="586" spans="1:12" hidden="1" x14ac:dyDescent="0.25">
      <c r="A586" s="52">
        <v>45291</v>
      </c>
      <c r="B586" s="27" t="s">
        <v>12</v>
      </c>
      <c r="C586" s="2" t="s">
        <v>1448</v>
      </c>
      <c r="D586" s="2">
        <v>1</v>
      </c>
      <c r="E586" s="27" t="s">
        <v>160</v>
      </c>
      <c r="F586" t="s">
        <v>40</v>
      </c>
      <c r="G586" s="47"/>
      <c r="H586" s="102"/>
      <c r="I586" s="63"/>
      <c r="J586" t="str">
        <f>CONCATENATE(Tabla1[[#This Row],[OBRA]],"/",Tabla1[[#This Row],[CODIGO ENSAYO]])</f>
        <v>14-1/4-5</v>
      </c>
      <c r="K586" s="2" t="str">
        <f>UPPER(TEXT(Tabla1[[#This Row],[FECHA INF]],"MMMM"))</f>
        <v>DICIEMBRE</v>
      </c>
      <c r="L58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0680-23</v>
      </c>
    </row>
    <row r="587" spans="1:12" hidden="1" x14ac:dyDescent="0.25">
      <c r="A587" s="52">
        <v>45291</v>
      </c>
      <c r="B587" s="27" t="s">
        <v>12</v>
      </c>
      <c r="C587" s="2" t="s">
        <v>1449</v>
      </c>
      <c r="D587" s="2">
        <v>1</v>
      </c>
      <c r="E587" s="27" t="s">
        <v>157</v>
      </c>
      <c r="F587" t="s">
        <v>37</v>
      </c>
      <c r="G587" s="47"/>
      <c r="H587" s="102"/>
      <c r="I587" s="63"/>
      <c r="J587" t="str">
        <f>CONCATENATE(Tabla1[[#This Row],[OBRA]],"/",Tabla1[[#This Row],[CODIGO ENSAYO]])</f>
        <v>14-1/4-2</v>
      </c>
      <c r="K587" s="2" t="str">
        <f>UPPER(TEXT(Tabla1[[#This Row],[FECHA INF]],"MMMM"))</f>
        <v>DICIEMBRE</v>
      </c>
      <c r="L58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0681-23</v>
      </c>
    </row>
    <row r="588" spans="1:12" hidden="1" x14ac:dyDescent="0.25">
      <c r="A588" s="52">
        <v>45291</v>
      </c>
      <c r="B588" s="27" t="s">
        <v>12</v>
      </c>
      <c r="C588" s="2" t="s">
        <v>1450</v>
      </c>
      <c r="D588" s="2">
        <v>1</v>
      </c>
      <c r="E588" s="27" t="s">
        <v>158</v>
      </c>
      <c r="F588" t="s">
        <v>38</v>
      </c>
      <c r="G588" s="47"/>
      <c r="H588" s="102"/>
      <c r="I588" s="63"/>
      <c r="J588" t="str">
        <f>CONCATENATE(Tabla1[[#This Row],[OBRA]],"/",Tabla1[[#This Row],[CODIGO ENSAYO]])</f>
        <v>14-1/4-3</v>
      </c>
      <c r="K588" s="2" t="str">
        <f>UPPER(TEXT(Tabla1[[#This Row],[FECHA INF]],"MMMM"))</f>
        <v>DICIEMBRE</v>
      </c>
      <c r="L58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0682-23</v>
      </c>
    </row>
    <row r="589" spans="1:12" hidden="1" x14ac:dyDescent="0.25">
      <c r="A589" s="52">
        <v>45291</v>
      </c>
      <c r="B589" s="27" t="s">
        <v>12</v>
      </c>
      <c r="C589" s="2" t="s">
        <v>1451</v>
      </c>
      <c r="D589" s="2">
        <v>1</v>
      </c>
      <c r="E589" s="27" t="s">
        <v>159</v>
      </c>
      <c r="F589" t="s">
        <v>39</v>
      </c>
      <c r="G589" s="47"/>
      <c r="H589" s="102"/>
      <c r="I589" s="63"/>
      <c r="J589" t="str">
        <f>CONCATENATE(Tabla1[[#This Row],[OBRA]],"/",Tabla1[[#This Row],[CODIGO ENSAYO]])</f>
        <v>14-1/4-4</v>
      </c>
      <c r="K589" s="2" t="str">
        <f>UPPER(TEXT(Tabla1[[#This Row],[FECHA INF]],"MMMM"))</f>
        <v>DICIEMBRE</v>
      </c>
      <c r="L58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0683-23</v>
      </c>
    </row>
    <row r="590" spans="1:12" hidden="1" x14ac:dyDescent="0.25">
      <c r="A590" s="52">
        <v>45291</v>
      </c>
      <c r="B590" s="27" t="s">
        <v>12</v>
      </c>
      <c r="C590" s="2" t="s">
        <v>1452</v>
      </c>
      <c r="D590" s="2">
        <v>1</v>
      </c>
      <c r="E590" s="27" t="s">
        <v>139</v>
      </c>
      <c r="F590" t="s">
        <v>468</v>
      </c>
      <c r="G590" s="47"/>
      <c r="H590" s="102"/>
      <c r="I590" s="63"/>
      <c r="J590" t="str">
        <f>CONCATENATE(Tabla1[[#This Row],[OBRA]],"/",Tabla1[[#This Row],[CODIGO ENSAYO]])</f>
        <v>14-1/2-3</v>
      </c>
      <c r="K590" s="2" t="str">
        <f>UPPER(TEXT(Tabla1[[#This Row],[FECHA INF]],"MMMM"))</f>
        <v>DICIEMBRE</v>
      </c>
      <c r="L59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0684-23</v>
      </c>
    </row>
    <row r="591" spans="1:12" hidden="1" x14ac:dyDescent="0.25">
      <c r="A591" s="52">
        <v>45291</v>
      </c>
      <c r="B591" s="27" t="s">
        <v>12</v>
      </c>
      <c r="C591" s="2" t="s">
        <v>1453</v>
      </c>
      <c r="D591" s="2">
        <v>1</v>
      </c>
      <c r="E591" s="27" t="s">
        <v>164</v>
      </c>
      <c r="F591" t="s">
        <v>42</v>
      </c>
      <c r="G591" s="47"/>
      <c r="H591" s="102"/>
      <c r="I591" s="63"/>
      <c r="J591" t="str">
        <f>CONCATENATE(Tabla1[[#This Row],[OBRA]],"/",Tabla1[[#This Row],[CODIGO ENSAYO]])</f>
        <v>14-1/4-10</v>
      </c>
      <c r="K591" s="2" t="str">
        <f>UPPER(TEXT(Tabla1[[#This Row],[FECHA INF]],"MMMM"))</f>
        <v>DICIEMBRE</v>
      </c>
      <c r="L59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0685-23</v>
      </c>
    </row>
    <row r="592" spans="1:12" hidden="1" x14ac:dyDescent="0.25">
      <c r="A592" s="52">
        <v>45291</v>
      </c>
      <c r="B592" s="27" t="s">
        <v>12</v>
      </c>
      <c r="C592" s="2" t="s">
        <v>1453</v>
      </c>
      <c r="D592" s="2">
        <v>1</v>
      </c>
      <c r="E592" s="27" t="s">
        <v>165</v>
      </c>
      <c r="F592" t="s">
        <v>43</v>
      </c>
      <c r="G592" s="47"/>
      <c r="H592" s="102"/>
      <c r="I592" s="63"/>
      <c r="J592" t="str">
        <f>CONCATENATE(Tabla1[[#This Row],[OBRA]],"/",Tabla1[[#This Row],[CODIGO ENSAYO]])</f>
        <v>14-1/4-11</v>
      </c>
      <c r="K592" s="2" t="str">
        <f>UPPER(TEXT(Tabla1[[#This Row],[FECHA INF]],"MMMM"))</f>
        <v>DICIEMBRE</v>
      </c>
      <c r="L59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0685-23</v>
      </c>
    </row>
    <row r="593" spans="1:12" hidden="1" x14ac:dyDescent="0.25">
      <c r="A593" s="52">
        <v>45291</v>
      </c>
      <c r="B593" s="27" t="s">
        <v>12</v>
      </c>
      <c r="C593" s="2" t="s">
        <v>1454</v>
      </c>
      <c r="D593" s="2">
        <v>1</v>
      </c>
      <c r="E593" s="27" t="s">
        <v>292</v>
      </c>
      <c r="F593" t="s">
        <v>440</v>
      </c>
      <c r="G593" s="47"/>
      <c r="H593" s="102"/>
      <c r="I593" s="63"/>
      <c r="J593" t="str">
        <f>CONCATENATE(Tabla1[[#This Row],[OBRA]],"/",Tabla1[[#This Row],[CODIGO ENSAYO]])</f>
        <v>14-1/2-21</v>
      </c>
      <c r="K593" s="2" t="str">
        <f>UPPER(TEXT(Tabla1[[#This Row],[FECHA INF]],"MMMM"))</f>
        <v>DICIEMBRE</v>
      </c>
      <c r="L59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0686-23</v>
      </c>
    </row>
    <row r="594" spans="1:12" hidden="1" x14ac:dyDescent="0.25">
      <c r="A594" s="52">
        <v>45291</v>
      </c>
      <c r="B594" s="27" t="s">
        <v>12</v>
      </c>
      <c r="C594" s="2" t="s">
        <v>1455</v>
      </c>
      <c r="D594" s="2">
        <v>1</v>
      </c>
      <c r="E594" s="27" t="s">
        <v>160</v>
      </c>
      <c r="F594" t="s">
        <v>40</v>
      </c>
      <c r="G594" s="47"/>
      <c r="H594" s="102"/>
      <c r="I594" s="63"/>
      <c r="J594" t="str">
        <f>CONCATENATE(Tabla1[[#This Row],[OBRA]],"/",Tabla1[[#This Row],[CODIGO ENSAYO]])</f>
        <v>14-1/4-5</v>
      </c>
      <c r="K594" s="2" t="str">
        <f>UPPER(TEXT(Tabla1[[#This Row],[FECHA INF]],"MMMM"))</f>
        <v>DICIEMBRE</v>
      </c>
      <c r="L59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0687-23</v>
      </c>
    </row>
    <row r="595" spans="1:12" hidden="1" x14ac:dyDescent="0.25">
      <c r="A595" s="52">
        <v>45291</v>
      </c>
      <c r="B595" s="27" t="s">
        <v>12</v>
      </c>
      <c r="C595" s="2" t="s">
        <v>1456</v>
      </c>
      <c r="D595" s="2">
        <v>1</v>
      </c>
      <c r="E595" s="27" t="s">
        <v>157</v>
      </c>
      <c r="F595" t="s">
        <v>37</v>
      </c>
      <c r="G595" s="47"/>
      <c r="H595" s="102"/>
      <c r="I595" s="63"/>
      <c r="J595" t="str">
        <f>CONCATENATE(Tabla1[[#This Row],[OBRA]],"/",Tabla1[[#This Row],[CODIGO ENSAYO]])</f>
        <v>14-1/4-2</v>
      </c>
      <c r="K595" s="2" t="str">
        <f>UPPER(TEXT(Tabla1[[#This Row],[FECHA INF]],"MMMM"))</f>
        <v>DICIEMBRE</v>
      </c>
      <c r="L59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0688-23</v>
      </c>
    </row>
    <row r="596" spans="1:12" hidden="1" x14ac:dyDescent="0.25">
      <c r="A596" s="52">
        <v>45291</v>
      </c>
      <c r="B596" s="27" t="s">
        <v>12</v>
      </c>
      <c r="C596" s="2" t="s">
        <v>1457</v>
      </c>
      <c r="D596" s="2">
        <v>1</v>
      </c>
      <c r="E596" s="27" t="s">
        <v>158</v>
      </c>
      <c r="F596" t="s">
        <v>38</v>
      </c>
      <c r="G596" s="47"/>
      <c r="H596" s="102"/>
      <c r="I596" s="63"/>
      <c r="J596" t="str">
        <f>CONCATENATE(Tabla1[[#This Row],[OBRA]],"/",Tabla1[[#This Row],[CODIGO ENSAYO]])</f>
        <v>14-1/4-3</v>
      </c>
      <c r="K596" s="2" t="str">
        <f>UPPER(TEXT(Tabla1[[#This Row],[FECHA INF]],"MMMM"))</f>
        <v>DICIEMBRE</v>
      </c>
      <c r="L59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0689-23</v>
      </c>
    </row>
    <row r="597" spans="1:12" hidden="1" x14ac:dyDescent="0.25">
      <c r="A597" s="52">
        <v>45291</v>
      </c>
      <c r="B597" s="27" t="s">
        <v>12</v>
      </c>
      <c r="C597" s="2" t="s">
        <v>1458</v>
      </c>
      <c r="D597" s="2">
        <v>1</v>
      </c>
      <c r="E597" s="27" t="s">
        <v>159</v>
      </c>
      <c r="F597" t="s">
        <v>39</v>
      </c>
      <c r="G597" s="47"/>
      <c r="H597" s="102"/>
      <c r="I597" s="63"/>
      <c r="J597" t="str">
        <f>CONCATENATE(Tabla1[[#This Row],[OBRA]],"/",Tabla1[[#This Row],[CODIGO ENSAYO]])</f>
        <v>14-1/4-4</v>
      </c>
      <c r="K597" s="2" t="str">
        <f>UPPER(TEXT(Tabla1[[#This Row],[FECHA INF]],"MMMM"))</f>
        <v>DICIEMBRE</v>
      </c>
      <c r="L59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0690-23</v>
      </c>
    </row>
    <row r="598" spans="1:12" hidden="1" x14ac:dyDescent="0.25">
      <c r="A598" s="52">
        <v>45291</v>
      </c>
      <c r="B598" s="27" t="s">
        <v>12</v>
      </c>
      <c r="C598" s="2" t="s">
        <v>1459</v>
      </c>
      <c r="D598" s="2">
        <v>1</v>
      </c>
      <c r="E598" s="27" t="s">
        <v>139</v>
      </c>
      <c r="F598" t="s">
        <v>468</v>
      </c>
      <c r="G598" s="47"/>
      <c r="H598" s="102"/>
      <c r="I598" s="63"/>
      <c r="J598" t="str">
        <f>CONCATENATE(Tabla1[[#This Row],[OBRA]],"/",Tabla1[[#This Row],[CODIGO ENSAYO]])</f>
        <v>14-1/2-3</v>
      </c>
      <c r="K598" s="2" t="str">
        <f>UPPER(TEXT(Tabla1[[#This Row],[FECHA INF]],"MMMM"))</f>
        <v>DICIEMBRE</v>
      </c>
      <c r="L59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0691-23</v>
      </c>
    </row>
    <row r="599" spans="1:12" hidden="1" x14ac:dyDescent="0.25">
      <c r="A599" s="52">
        <v>45291</v>
      </c>
      <c r="B599" s="27" t="s">
        <v>12</v>
      </c>
      <c r="C599" s="2" t="s">
        <v>1460</v>
      </c>
      <c r="D599" s="2">
        <v>1</v>
      </c>
      <c r="E599" s="27" t="s">
        <v>164</v>
      </c>
      <c r="F599" t="s">
        <v>42</v>
      </c>
      <c r="G599" s="47"/>
      <c r="H599" s="102"/>
      <c r="I599" s="63"/>
      <c r="J599" t="str">
        <f>CONCATENATE(Tabla1[[#This Row],[OBRA]],"/",Tabla1[[#This Row],[CODIGO ENSAYO]])</f>
        <v>14-1/4-10</v>
      </c>
      <c r="K599" s="2" t="str">
        <f>UPPER(TEXT(Tabla1[[#This Row],[FECHA INF]],"MMMM"))</f>
        <v>DICIEMBRE</v>
      </c>
      <c r="L59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0692-23</v>
      </c>
    </row>
    <row r="600" spans="1:12" hidden="1" x14ac:dyDescent="0.25">
      <c r="A600" s="52">
        <v>45291</v>
      </c>
      <c r="B600" s="27" t="s">
        <v>12</v>
      </c>
      <c r="C600" s="2" t="s">
        <v>1460</v>
      </c>
      <c r="D600" s="2">
        <v>1</v>
      </c>
      <c r="E600" s="27" t="s">
        <v>165</v>
      </c>
      <c r="F600" t="s">
        <v>43</v>
      </c>
      <c r="G600" s="47"/>
      <c r="H600" s="102"/>
      <c r="I600" s="63"/>
      <c r="J600" t="str">
        <f>CONCATENATE(Tabla1[[#This Row],[OBRA]],"/",Tabla1[[#This Row],[CODIGO ENSAYO]])</f>
        <v>14-1/4-11</v>
      </c>
      <c r="K600" s="2" t="str">
        <f>UPPER(TEXT(Tabla1[[#This Row],[FECHA INF]],"MMMM"))</f>
        <v>DICIEMBRE</v>
      </c>
      <c r="L60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0692-23</v>
      </c>
    </row>
    <row r="601" spans="1:12" hidden="1" x14ac:dyDescent="0.25">
      <c r="A601" s="52">
        <v>45291</v>
      </c>
      <c r="B601" s="27" t="s">
        <v>12</v>
      </c>
      <c r="C601" s="2" t="s">
        <v>1461</v>
      </c>
      <c r="D601" s="2">
        <v>1</v>
      </c>
      <c r="E601" s="27" t="s">
        <v>292</v>
      </c>
      <c r="F601" t="s">
        <v>440</v>
      </c>
      <c r="G601" s="47"/>
      <c r="H601" s="102"/>
      <c r="I601" s="63"/>
      <c r="J601" t="str">
        <f>CONCATENATE(Tabla1[[#This Row],[OBRA]],"/",Tabla1[[#This Row],[CODIGO ENSAYO]])</f>
        <v>14-1/2-21</v>
      </c>
      <c r="K601" s="2" t="str">
        <f>UPPER(TEXT(Tabla1[[#This Row],[FECHA INF]],"MMMM"))</f>
        <v>DICIEMBRE</v>
      </c>
      <c r="L60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0693-23</v>
      </c>
    </row>
    <row r="602" spans="1:12" hidden="1" x14ac:dyDescent="0.25">
      <c r="A602" s="52">
        <v>45291</v>
      </c>
      <c r="B602" s="27" t="s">
        <v>12</v>
      </c>
      <c r="C602" s="2" t="s">
        <v>1462</v>
      </c>
      <c r="D602" s="2">
        <v>1</v>
      </c>
      <c r="E602" s="27" t="s">
        <v>160</v>
      </c>
      <c r="F602" t="s">
        <v>40</v>
      </c>
      <c r="G602" s="47"/>
      <c r="H602" s="102"/>
      <c r="I602" s="63"/>
      <c r="J602" t="str">
        <f>CONCATENATE(Tabla1[[#This Row],[OBRA]],"/",Tabla1[[#This Row],[CODIGO ENSAYO]])</f>
        <v>14-1/4-5</v>
      </c>
      <c r="K602" s="2" t="str">
        <f>UPPER(TEXT(Tabla1[[#This Row],[FECHA INF]],"MMMM"))</f>
        <v>DICIEMBRE</v>
      </c>
      <c r="L60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0694-23</v>
      </c>
    </row>
    <row r="603" spans="1:12" hidden="1" x14ac:dyDescent="0.25">
      <c r="A603" s="52">
        <v>45291</v>
      </c>
      <c r="B603" s="27" t="s">
        <v>12</v>
      </c>
      <c r="C603" s="2" t="s">
        <v>1463</v>
      </c>
      <c r="D603" s="2">
        <v>1</v>
      </c>
      <c r="E603" s="27" t="s">
        <v>157</v>
      </c>
      <c r="F603" t="s">
        <v>37</v>
      </c>
      <c r="G603" s="47"/>
      <c r="H603" s="102"/>
      <c r="I603" s="63"/>
      <c r="J603" t="str">
        <f>CONCATENATE(Tabla1[[#This Row],[OBRA]],"/",Tabla1[[#This Row],[CODIGO ENSAYO]])</f>
        <v>14-1/4-2</v>
      </c>
      <c r="K603" s="2" t="str">
        <f>UPPER(TEXT(Tabla1[[#This Row],[FECHA INF]],"MMMM"))</f>
        <v>DICIEMBRE</v>
      </c>
      <c r="L60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0695-23</v>
      </c>
    </row>
    <row r="604" spans="1:12" hidden="1" x14ac:dyDescent="0.25">
      <c r="A604" s="52">
        <v>45291</v>
      </c>
      <c r="B604" s="27" t="s">
        <v>12</v>
      </c>
      <c r="C604" s="2" t="s">
        <v>1464</v>
      </c>
      <c r="D604" s="2">
        <v>1</v>
      </c>
      <c r="E604" s="27" t="s">
        <v>158</v>
      </c>
      <c r="F604" t="s">
        <v>38</v>
      </c>
      <c r="G604" s="47"/>
      <c r="H604" s="102"/>
      <c r="I604" s="63"/>
      <c r="J604" t="str">
        <f>CONCATENATE(Tabla1[[#This Row],[OBRA]],"/",Tabla1[[#This Row],[CODIGO ENSAYO]])</f>
        <v>14-1/4-3</v>
      </c>
      <c r="K604" s="2" t="str">
        <f>UPPER(TEXT(Tabla1[[#This Row],[FECHA INF]],"MMMM"))</f>
        <v>DICIEMBRE</v>
      </c>
      <c r="L60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0696-23</v>
      </c>
    </row>
    <row r="605" spans="1:12" hidden="1" x14ac:dyDescent="0.25">
      <c r="A605" s="52">
        <v>45291</v>
      </c>
      <c r="B605" s="27" t="s">
        <v>12</v>
      </c>
      <c r="C605" s="2" t="s">
        <v>1465</v>
      </c>
      <c r="D605" s="2">
        <v>1</v>
      </c>
      <c r="E605" s="27" t="s">
        <v>139</v>
      </c>
      <c r="F605" t="s">
        <v>468</v>
      </c>
      <c r="G605" s="47"/>
      <c r="H605" s="102"/>
      <c r="I605" s="63"/>
      <c r="J605" t="str">
        <f>CONCATENATE(Tabla1[[#This Row],[OBRA]],"/",Tabla1[[#This Row],[CODIGO ENSAYO]])</f>
        <v>14-1/2-3</v>
      </c>
      <c r="K605" s="2" t="str">
        <f>UPPER(TEXT(Tabla1[[#This Row],[FECHA INF]],"MMMM"))</f>
        <v>DICIEMBRE</v>
      </c>
      <c r="L60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0697-23</v>
      </c>
    </row>
    <row r="606" spans="1:12" hidden="1" x14ac:dyDescent="0.25">
      <c r="A606" s="52">
        <v>45291</v>
      </c>
      <c r="B606" s="27" t="s">
        <v>12</v>
      </c>
      <c r="C606" s="2" t="s">
        <v>1466</v>
      </c>
      <c r="D606" s="2">
        <v>1</v>
      </c>
      <c r="E606" s="27" t="s">
        <v>164</v>
      </c>
      <c r="F606" t="s">
        <v>42</v>
      </c>
      <c r="G606" s="47"/>
      <c r="H606" s="102"/>
      <c r="I606" s="63"/>
      <c r="J606" t="str">
        <f>CONCATENATE(Tabla1[[#This Row],[OBRA]],"/",Tabla1[[#This Row],[CODIGO ENSAYO]])</f>
        <v>14-1/4-10</v>
      </c>
      <c r="K606" s="2" t="str">
        <f>UPPER(TEXT(Tabla1[[#This Row],[FECHA INF]],"MMMM"))</f>
        <v>DICIEMBRE</v>
      </c>
      <c r="L60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0698-23</v>
      </c>
    </row>
    <row r="607" spans="1:12" hidden="1" x14ac:dyDescent="0.25">
      <c r="A607" s="52">
        <v>45291</v>
      </c>
      <c r="B607" s="27" t="s">
        <v>12</v>
      </c>
      <c r="C607" s="2" t="s">
        <v>1466</v>
      </c>
      <c r="D607" s="2">
        <v>1</v>
      </c>
      <c r="E607" s="27" t="s">
        <v>165</v>
      </c>
      <c r="F607" t="s">
        <v>43</v>
      </c>
      <c r="G607" s="47"/>
      <c r="H607" s="102"/>
      <c r="I607" s="63"/>
      <c r="J607" t="str">
        <f>CONCATENATE(Tabla1[[#This Row],[OBRA]],"/",Tabla1[[#This Row],[CODIGO ENSAYO]])</f>
        <v>14-1/4-11</v>
      </c>
      <c r="K607" s="2" t="str">
        <f>UPPER(TEXT(Tabla1[[#This Row],[FECHA INF]],"MMMM"))</f>
        <v>DICIEMBRE</v>
      </c>
      <c r="L60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0698-23</v>
      </c>
    </row>
    <row r="608" spans="1:12" hidden="1" x14ac:dyDescent="0.25">
      <c r="A608" s="52">
        <v>45291</v>
      </c>
      <c r="B608" s="27" t="s">
        <v>12</v>
      </c>
      <c r="C608" s="2" t="s">
        <v>1467</v>
      </c>
      <c r="D608" s="2">
        <v>1</v>
      </c>
      <c r="E608" s="27" t="s">
        <v>292</v>
      </c>
      <c r="F608" t="s">
        <v>440</v>
      </c>
      <c r="G608" s="47"/>
      <c r="H608" s="102"/>
      <c r="I608" s="63"/>
      <c r="J608" t="str">
        <f>CONCATENATE(Tabla1[[#This Row],[OBRA]],"/",Tabla1[[#This Row],[CODIGO ENSAYO]])</f>
        <v>14-1/2-21</v>
      </c>
      <c r="K608" s="2" t="str">
        <f>UPPER(TEXT(Tabla1[[#This Row],[FECHA INF]],"MMMM"))</f>
        <v>DICIEMBRE</v>
      </c>
      <c r="L60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0699-23</v>
      </c>
    </row>
    <row r="609" spans="1:12" hidden="1" x14ac:dyDescent="0.25">
      <c r="A609" s="52">
        <v>45291</v>
      </c>
      <c r="B609" s="27" t="s">
        <v>12</v>
      </c>
      <c r="C609" s="2" t="s">
        <v>1468</v>
      </c>
      <c r="D609" s="2">
        <v>1</v>
      </c>
      <c r="E609" s="27" t="s">
        <v>160</v>
      </c>
      <c r="F609" t="s">
        <v>40</v>
      </c>
      <c r="G609" s="47"/>
      <c r="H609" s="102"/>
      <c r="I609" s="63"/>
      <c r="J609" t="str">
        <f>CONCATENATE(Tabla1[[#This Row],[OBRA]],"/",Tabla1[[#This Row],[CODIGO ENSAYO]])</f>
        <v>14-1/4-5</v>
      </c>
      <c r="K609" s="2" t="str">
        <f>UPPER(TEXT(Tabla1[[#This Row],[FECHA INF]],"MMMM"))</f>
        <v>DICIEMBRE</v>
      </c>
      <c r="L60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0700-23</v>
      </c>
    </row>
    <row r="610" spans="1:12" hidden="1" x14ac:dyDescent="0.25">
      <c r="A610" s="52">
        <v>45291</v>
      </c>
      <c r="B610" s="27" t="s">
        <v>12</v>
      </c>
      <c r="C610" s="2" t="s">
        <v>1469</v>
      </c>
      <c r="D610" s="2">
        <v>1</v>
      </c>
      <c r="E610" s="27" t="s">
        <v>157</v>
      </c>
      <c r="F610" t="s">
        <v>37</v>
      </c>
      <c r="G610" s="47"/>
      <c r="H610" s="102"/>
      <c r="I610" s="63"/>
      <c r="J610" t="str">
        <f>CONCATENATE(Tabla1[[#This Row],[OBRA]],"/",Tabla1[[#This Row],[CODIGO ENSAYO]])</f>
        <v>14-1/4-2</v>
      </c>
      <c r="K610" s="2" t="str">
        <f>UPPER(TEXT(Tabla1[[#This Row],[FECHA INF]],"MMMM"))</f>
        <v>DICIEMBRE</v>
      </c>
      <c r="L61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0701-23</v>
      </c>
    </row>
    <row r="611" spans="1:12" hidden="1" x14ac:dyDescent="0.25">
      <c r="A611" s="52">
        <v>45291</v>
      </c>
      <c r="B611" s="27" t="s">
        <v>12</v>
      </c>
      <c r="C611" s="2" t="s">
        <v>1470</v>
      </c>
      <c r="D611" s="2">
        <v>1</v>
      </c>
      <c r="E611" s="27" t="s">
        <v>158</v>
      </c>
      <c r="F611" t="s">
        <v>38</v>
      </c>
      <c r="G611" s="47"/>
      <c r="H611" s="102"/>
      <c r="I611" s="63"/>
      <c r="J611" t="str">
        <f>CONCATENATE(Tabla1[[#This Row],[OBRA]],"/",Tabla1[[#This Row],[CODIGO ENSAYO]])</f>
        <v>14-1/4-3</v>
      </c>
      <c r="K611" s="2" t="str">
        <f>UPPER(TEXT(Tabla1[[#This Row],[FECHA INF]],"MMMM"))</f>
        <v>DICIEMBRE</v>
      </c>
      <c r="L6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0702-23</v>
      </c>
    </row>
    <row r="612" spans="1:12" hidden="1" x14ac:dyDescent="0.25">
      <c r="A612" s="52">
        <v>45291</v>
      </c>
      <c r="B612" s="27" t="s">
        <v>12</v>
      </c>
      <c r="C612" s="2" t="s">
        <v>1471</v>
      </c>
      <c r="D612" s="2">
        <v>1</v>
      </c>
      <c r="E612" s="27" t="s">
        <v>159</v>
      </c>
      <c r="F612" t="s">
        <v>39</v>
      </c>
      <c r="G612" s="47"/>
      <c r="H612" s="102"/>
      <c r="I612" s="63"/>
      <c r="J612" t="str">
        <f>CONCATENATE(Tabla1[[#This Row],[OBRA]],"/",Tabla1[[#This Row],[CODIGO ENSAYO]])</f>
        <v>14-1/4-4</v>
      </c>
      <c r="K612" s="2" t="str">
        <f>UPPER(TEXT(Tabla1[[#This Row],[FECHA INF]],"MMMM"))</f>
        <v>DICIEMBRE</v>
      </c>
      <c r="L61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0703-23</v>
      </c>
    </row>
    <row r="613" spans="1:12" hidden="1" x14ac:dyDescent="0.25">
      <c r="A613" s="52">
        <v>45291</v>
      </c>
      <c r="B613" s="27" t="s">
        <v>12</v>
      </c>
      <c r="C613" s="2" t="s">
        <v>1472</v>
      </c>
      <c r="D613" s="2">
        <v>1</v>
      </c>
      <c r="E613" s="27" t="s">
        <v>139</v>
      </c>
      <c r="F613" t="s">
        <v>468</v>
      </c>
      <c r="G613" s="47"/>
      <c r="H613" s="102"/>
      <c r="I613" s="63"/>
      <c r="J613" t="str">
        <f>CONCATENATE(Tabla1[[#This Row],[OBRA]],"/",Tabla1[[#This Row],[CODIGO ENSAYO]])</f>
        <v>14-1/2-3</v>
      </c>
      <c r="K613" s="2" t="str">
        <f>UPPER(TEXT(Tabla1[[#This Row],[FECHA INF]],"MMMM"))</f>
        <v>DICIEMBRE</v>
      </c>
      <c r="L61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0704-23</v>
      </c>
    </row>
    <row r="614" spans="1:12" hidden="1" x14ac:dyDescent="0.25">
      <c r="A614" s="52">
        <v>45291</v>
      </c>
      <c r="B614" s="27" t="s">
        <v>12</v>
      </c>
      <c r="C614" s="2" t="s">
        <v>1473</v>
      </c>
      <c r="D614" s="2">
        <v>1</v>
      </c>
      <c r="E614" s="27" t="s">
        <v>164</v>
      </c>
      <c r="F614" t="s">
        <v>42</v>
      </c>
      <c r="G614" s="47"/>
      <c r="H614" s="102"/>
      <c r="I614" s="63"/>
      <c r="J614" t="str">
        <f>CONCATENATE(Tabla1[[#This Row],[OBRA]],"/",Tabla1[[#This Row],[CODIGO ENSAYO]])</f>
        <v>14-1/4-10</v>
      </c>
      <c r="K614" s="2" t="str">
        <f>UPPER(TEXT(Tabla1[[#This Row],[FECHA INF]],"MMMM"))</f>
        <v>DICIEMBRE</v>
      </c>
      <c r="L61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0705-23</v>
      </c>
    </row>
    <row r="615" spans="1:12" hidden="1" x14ac:dyDescent="0.25">
      <c r="A615" s="52">
        <v>45291</v>
      </c>
      <c r="B615" s="27" t="s">
        <v>12</v>
      </c>
      <c r="C615" s="2" t="s">
        <v>1473</v>
      </c>
      <c r="D615" s="2">
        <v>1</v>
      </c>
      <c r="E615" s="27" t="s">
        <v>165</v>
      </c>
      <c r="F615" t="s">
        <v>43</v>
      </c>
      <c r="G615" s="47"/>
      <c r="H615" s="102"/>
      <c r="I615" s="63"/>
      <c r="J615" t="str">
        <f>CONCATENATE(Tabla1[[#This Row],[OBRA]],"/",Tabla1[[#This Row],[CODIGO ENSAYO]])</f>
        <v>14-1/4-11</v>
      </c>
      <c r="K615" s="2" t="str">
        <f>UPPER(TEXT(Tabla1[[#This Row],[FECHA INF]],"MMMM"))</f>
        <v>DICIEMBRE</v>
      </c>
      <c r="L61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0705-23</v>
      </c>
    </row>
    <row r="616" spans="1:12" hidden="1" x14ac:dyDescent="0.25">
      <c r="A616" s="52">
        <v>45291</v>
      </c>
      <c r="B616" s="27" t="s">
        <v>12</v>
      </c>
      <c r="C616" s="2" t="s">
        <v>1474</v>
      </c>
      <c r="D616" s="2">
        <v>1</v>
      </c>
      <c r="E616" s="27" t="s">
        <v>292</v>
      </c>
      <c r="F616" t="s">
        <v>440</v>
      </c>
      <c r="G616" s="47"/>
      <c r="H616" s="102"/>
      <c r="I616" s="63"/>
      <c r="J616" t="str">
        <f>CONCATENATE(Tabla1[[#This Row],[OBRA]],"/",Tabla1[[#This Row],[CODIGO ENSAYO]])</f>
        <v>14-1/2-21</v>
      </c>
      <c r="K616" s="2" t="str">
        <f>UPPER(TEXT(Tabla1[[#This Row],[FECHA INF]],"MMMM"))</f>
        <v>DICIEMBRE</v>
      </c>
      <c r="L61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0706-23</v>
      </c>
    </row>
    <row r="617" spans="1:12" hidden="1" x14ac:dyDescent="0.25">
      <c r="A617" s="52">
        <v>45291</v>
      </c>
      <c r="B617" s="27" t="s">
        <v>12</v>
      </c>
      <c r="C617" s="2" t="s">
        <v>1475</v>
      </c>
      <c r="D617" s="2">
        <v>1</v>
      </c>
      <c r="E617" s="27" t="s">
        <v>160</v>
      </c>
      <c r="F617" t="s">
        <v>40</v>
      </c>
      <c r="G617" s="47"/>
      <c r="H617" s="102"/>
      <c r="I617" s="63"/>
      <c r="J617" t="str">
        <f>CONCATENATE(Tabla1[[#This Row],[OBRA]],"/",Tabla1[[#This Row],[CODIGO ENSAYO]])</f>
        <v>14-1/4-5</v>
      </c>
      <c r="K617" s="2" t="str">
        <f>UPPER(TEXT(Tabla1[[#This Row],[FECHA INF]],"MMMM"))</f>
        <v>DICIEMBRE</v>
      </c>
      <c r="L61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0707-23</v>
      </c>
    </row>
    <row r="618" spans="1:12" hidden="1" x14ac:dyDescent="0.25">
      <c r="A618" s="52">
        <v>45291</v>
      </c>
      <c r="B618" s="27" t="s">
        <v>12</v>
      </c>
      <c r="C618" s="2" t="s">
        <v>1476</v>
      </c>
      <c r="D618" s="2">
        <v>1</v>
      </c>
      <c r="E618" s="27" t="s">
        <v>157</v>
      </c>
      <c r="F618" t="s">
        <v>37</v>
      </c>
      <c r="G618" s="47"/>
      <c r="H618" s="102"/>
      <c r="I618" s="63"/>
      <c r="J618" t="str">
        <f>CONCATENATE(Tabla1[[#This Row],[OBRA]],"/",Tabla1[[#This Row],[CODIGO ENSAYO]])</f>
        <v>14-1/4-2</v>
      </c>
      <c r="K618" s="2" t="str">
        <f>UPPER(TEXT(Tabla1[[#This Row],[FECHA INF]],"MMMM"))</f>
        <v>DICIEMBRE</v>
      </c>
      <c r="L61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0708-23</v>
      </c>
    </row>
    <row r="619" spans="1:12" hidden="1" x14ac:dyDescent="0.25">
      <c r="A619" s="52">
        <v>45291</v>
      </c>
      <c r="B619" s="27" t="s">
        <v>12</v>
      </c>
      <c r="C619" s="2" t="s">
        <v>1477</v>
      </c>
      <c r="D619" s="2">
        <v>1</v>
      </c>
      <c r="E619" s="27" t="s">
        <v>158</v>
      </c>
      <c r="F619" t="s">
        <v>38</v>
      </c>
      <c r="G619" s="47"/>
      <c r="H619" s="102"/>
      <c r="I619" s="63"/>
      <c r="J619" t="str">
        <f>CONCATENATE(Tabla1[[#This Row],[OBRA]],"/",Tabla1[[#This Row],[CODIGO ENSAYO]])</f>
        <v>14-1/4-3</v>
      </c>
      <c r="K619" s="2" t="str">
        <f>UPPER(TEXT(Tabla1[[#This Row],[FECHA INF]],"MMMM"))</f>
        <v>DICIEMBRE</v>
      </c>
      <c r="L61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0709-23</v>
      </c>
    </row>
    <row r="620" spans="1:12" hidden="1" x14ac:dyDescent="0.25">
      <c r="A620" s="52">
        <v>45291</v>
      </c>
      <c r="B620" s="27" t="s">
        <v>12</v>
      </c>
      <c r="C620" s="2" t="s">
        <v>1478</v>
      </c>
      <c r="D620" s="2">
        <v>1</v>
      </c>
      <c r="E620" s="27" t="s">
        <v>159</v>
      </c>
      <c r="F620" t="s">
        <v>39</v>
      </c>
      <c r="G620" s="47"/>
      <c r="H620" s="102"/>
      <c r="I620" s="63"/>
      <c r="J620" t="str">
        <f>CONCATENATE(Tabla1[[#This Row],[OBRA]],"/",Tabla1[[#This Row],[CODIGO ENSAYO]])</f>
        <v>14-1/4-4</v>
      </c>
      <c r="K620" s="2" t="str">
        <f>UPPER(TEXT(Tabla1[[#This Row],[FECHA INF]],"MMMM"))</f>
        <v>DICIEMBRE</v>
      </c>
      <c r="L62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0710-23</v>
      </c>
    </row>
    <row r="621" spans="1:12" hidden="1" x14ac:dyDescent="0.25">
      <c r="A621" s="52">
        <v>45322</v>
      </c>
      <c r="B621" s="27" t="s">
        <v>522</v>
      </c>
      <c r="C621" s="2" t="s">
        <v>1492</v>
      </c>
      <c r="D621" s="2">
        <v>1</v>
      </c>
      <c r="E621" s="27" t="s">
        <v>175</v>
      </c>
      <c r="F621" t="s">
        <v>390</v>
      </c>
      <c r="G621" s="47"/>
      <c r="H621" s="102"/>
      <c r="I621" s="63"/>
      <c r="J621" t="str">
        <f>CONCATENATE(Tabla1[[#This Row],[OBRA]],"/",Tabla1[[#This Row],[CODIGO ENSAYO]])</f>
        <v>17-1/7-1</v>
      </c>
      <c r="K621" s="2" t="str">
        <f>UPPER(TEXT(Tabla1[[#This Row],[FECHA INF]],"MMMM"))</f>
        <v>ENERO</v>
      </c>
      <c r="L62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(Transporte 16-01-2024)</v>
      </c>
    </row>
    <row r="622" spans="1:12" hidden="1" x14ac:dyDescent="0.25">
      <c r="A622" s="52">
        <v>45322</v>
      </c>
      <c r="B622" s="27" t="s">
        <v>522</v>
      </c>
      <c r="C622" s="2" t="s">
        <v>1480</v>
      </c>
      <c r="D622" s="2">
        <v>1</v>
      </c>
      <c r="E622" s="27" t="s">
        <v>493</v>
      </c>
      <c r="F622" t="s">
        <v>374</v>
      </c>
      <c r="G622" s="47"/>
      <c r="H622" s="102"/>
      <c r="I622" s="63"/>
      <c r="J622" t="str">
        <f>CONCATENATE(Tabla1[[#This Row],[OBRA]],"/",Tabla1[[#This Row],[CODIGO ENSAYO]])</f>
        <v>17-1/13-9</v>
      </c>
      <c r="K622" s="2" t="str">
        <f>UPPER(TEXT(Tabla1[[#This Row],[FECHA INF]],"MMMM"))</f>
        <v>ENERO</v>
      </c>
      <c r="L62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0001A-24</v>
      </c>
    </row>
    <row r="623" spans="1:12" hidden="1" x14ac:dyDescent="0.25">
      <c r="A623" s="52">
        <v>45322</v>
      </c>
      <c r="B623" s="27" t="s">
        <v>522</v>
      </c>
      <c r="C623" s="2" t="s">
        <v>1481</v>
      </c>
      <c r="D623" s="2">
        <v>1</v>
      </c>
      <c r="E623" s="27" t="s">
        <v>11</v>
      </c>
      <c r="F623" t="s">
        <v>784</v>
      </c>
      <c r="G623" s="47"/>
      <c r="H623" s="102"/>
      <c r="I623" s="63"/>
      <c r="J623" t="str">
        <f>CONCATENATE(Tabla1[[#This Row],[OBRA]],"/",Tabla1[[#This Row],[CODIGO ENSAYO]])</f>
        <v>17-1/13-1</v>
      </c>
      <c r="K623" s="2" t="str">
        <f>UPPER(TEXT(Tabla1[[#This Row],[FECHA INF]],"MMMM"))</f>
        <v>ENERO</v>
      </c>
      <c r="L62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0002A-24</v>
      </c>
    </row>
    <row r="624" spans="1:12" hidden="1" x14ac:dyDescent="0.25">
      <c r="A624" s="52">
        <v>45322</v>
      </c>
      <c r="B624" s="27" t="s">
        <v>522</v>
      </c>
      <c r="C624" s="2" t="s">
        <v>1481</v>
      </c>
      <c r="D624" s="2">
        <v>1</v>
      </c>
      <c r="E624" s="27" t="s">
        <v>226</v>
      </c>
      <c r="F624" t="s">
        <v>787</v>
      </c>
      <c r="G624" s="47"/>
      <c r="H624" s="102"/>
      <c r="I624" s="63"/>
      <c r="J624" t="str">
        <f>CONCATENATE(Tabla1[[#This Row],[OBRA]],"/",Tabla1[[#This Row],[CODIGO ENSAYO]])</f>
        <v>17-1/13-4</v>
      </c>
      <c r="K624" s="2" t="str">
        <f>UPPER(TEXT(Tabla1[[#This Row],[FECHA INF]],"MMMM"))</f>
        <v>ENERO</v>
      </c>
      <c r="L62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0002A-24</v>
      </c>
    </row>
    <row r="625" spans="1:12" hidden="1" x14ac:dyDescent="0.25">
      <c r="A625" s="52">
        <v>45322</v>
      </c>
      <c r="B625" s="27" t="s">
        <v>522</v>
      </c>
      <c r="C625" s="2" t="s">
        <v>1482</v>
      </c>
      <c r="D625" s="2">
        <v>1</v>
      </c>
      <c r="E625" s="27" t="s">
        <v>493</v>
      </c>
      <c r="F625" t="s">
        <v>374</v>
      </c>
      <c r="G625" s="47"/>
      <c r="H625" s="102"/>
      <c r="I625" s="63"/>
      <c r="J625" t="str">
        <f>CONCATENATE(Tabla1[[#This Row],[OBRA]],"/",Tabla1[[#This Row],[CODIGO ENSAYO]])</f>
        <v>17-1/13-9</v>
      </c>
      <c r="K625" s="2" t="str">
        <f>UPPER(TEXT(Tabla1[[#This Row],[FECHA INF]],"MMMM"))</f>
        <v>ENERO</v>
      </c>
      <c r="L62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0003A-24</v>
      </c>
    </row>
    <row r="626" spans="1:12" hidden="1" x14ac:dyDescent="0.25">
      <c r="A626" s="52">
        <v>45322</v>
      </c>
      <c r="B626" s="27" t="s">
        <v>522</v>
      </c>
      <c r="C626" s="2" t="s">
        <v>1483</v>
      </c>
      <c r="D626" s="2">
        <v>1</v>
      </c>
      <c r="E626" s="27" t="s">
        <v>11</v>
      </c>
      <c r="F626" t="s">
        <v>784</v>
      </c>
      <c r="G626" s="47"/>
      <c r="H626" s="102"/>
      <c r="I626" s="63"/>
      <c r="J626" t="str">
        <f>CONCATENATE(Tabla1[[#This Row],[OBRA]],"/",Tabla1[[#This Row],[CODIGO ENSAYO]])</f>
        <v>17-1/13-1</v>
      </c>
      <c r="K626" s="2" t="str">
        <f>UPPER(TEXT(Tabla1[[#This Row],[FECHA INF]],"MMMM"))</f>
        <v>ENERO</v>
      </c>
      <c r="L62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0004A-24</v>
      </c>
    </row>
    <row r="627" spans="1:12" hidden="1" x14ac:dyDescent="0.25">
      <c r="A627" s="52">
        <v>45322</v>
      </c>
      <c r="B627" s="27" t="s">
        <v>522</v>
      </c>
      <c r="C627" s="2" t="s">
        <v>1483</v>
      </c>
      <c r="D627" s="2">
        <v>1</v>
      </c>
      <c r="E627" s="27" t="s">
        <v>226</v>
      </c>
      <c r="F627" t="s">
        <v>787</v>
      </c>
      <c r="G627" s="47"/>
      <c r="H627" s="102"/>
      <c r="I627" s="63"/>
      <c r="J627" t="str">
        <f>CONCATENATE(Tabla1[[#This Row],[OBRA]],"/",Tabla1[[#This Row],[CODIGO ENSAYO]])</f>
        <v>17-1/13-4</v>
      </c>
      <c r="K627" s="2" t="str">
        <f>UPPER(TEXT(Tabla1[[#This Row],[FECHA INF]],"MMMM"))</f>
        <v>ENERO</v>
      </c>
      <c r="L62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0004A-24</v>
      </c>
    </row>
    <row r="628" spans="1:12" hidden="1" x14ac:dyDescent="0.25">
      <c r="A628" s="52">
        <v>45322</v>
      </c>
      <c r="B628" s="27" t="s">
        <v>522</v>
      </c>
      <c r="C628" s="2" t="s">
        <v>1484</v>
      </c>
      <c r="D628" s="2">
        <v>1</v>
      </c>
      <c r="E628" s="27" t="s">
        <v>493</v>
      </c>
      <c r="F628" t="s">
        <v>374</v>
      </c>
      <c r="G628" s="47"/>
      <c r="H628" s="102"/>
      <c r="I628" s="63"/>
      <c r="J628" t="str">
        <f>CONCATENATE(Tabla1[[#This Row],[OBRA]],"/",Tabla1[[#This Row],[CODIGO ENSAYO]])</f>
        <v>17-1/13-9</v>
      </c>
      <c r="K628" s="2" t="str">
        <f>UPPER(TEXT(Tabla1[[#This Row],[FECHA INF]],"MMMM"))</f>
        <v>ENERO</v>
      </c>
      <c r="L62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0005A-24</v>
      </c>
    </row>
    <row r="629" spans="1:12" hidden="1" x14ac:dyDescent="0.25">
      <c r="A629" s="52">
        <v>45322</v>
      </c>
      <c r="B629" s="27" t="s">
        <v>522</v>
      </c>
      <c r="C629" s="2" t="s">
        <v>1485</v>
      </c>
      <c r="D629" s="2">
        <v>1</v>
      </c>
      <c r="E629" s="27" t="s">
        <v>224</v>
      </c>
      <c r="F629" t="s">
        <v>785</v>
      </c>
      <c r="G629" s="47"/>
      <c r="H629" s="102"/>
      <c r="I629" s="63"/>
      <c r="J629" t="str">
        <f>CONCATENATE(Tabla1[[#This Row],[OBRA]],"/",Tabla1[[#This Row],[CODIGO ENSAYO]])</f>
        <v>17-1/13-2</v>
      </c>
      <c r="K629" s="2" t="str">
        <f>UPPER(TEXT(Tabla1[[#This Row],[FECHA INF]],"MMMM"))</f>
        <v>ENERO</v>
      </c>
      <c r="L62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0006A-24</v>
      </c>
    </row>
    <row r="630" spans="1:12" hidden="1" x14ac:dyDescent="0.25">
      <c r="A630" s="52">
        <v>45322</v>
      </c>
      <c r="B630" s="27" t="s">
        <v>522</v>
      </c>
      <c r="C630" s="2" t="s">
        <v>1485</v>
      </c>
      <c r="D630" s="2">
        <v>1</v>
      </c>
      <c r="E630" s="27" t="s">
        <v>226</v>
      </c>
      <c r="F630" t="s">
        <v>787</v>
      </c>
      <c r="G630" s="47"/>
      <c r="H630" s="102"/>
      <c r="I630" s="63"/>
      <c r="J630" t="str">
        <f>CONCATENATE(Tabla1[[#This Row],[OBRA]],"/",Tabla1[[#This Row],[CODIGO ENSAYO]])</f>
        <v>17-1/13-4</v>
      </c>
      <c r="K630" s="2" t="str">
        <f>UPPER(TEXT(Tabla1[[#This Row],[FECHA INF]],"MMMM"))</f>
        <v>ENERO</v>
      </c>
      <c r="L63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0006A-24</v>
      </c>
    </row>
    <row r="631" spans="1:12" hidden="1" x14ac:dyDescent="0.25">
      <c r="A631" s="52">
        <v>45322</v>
      </c>
      <c r="B631" s="27" t="s">
        <v>522</v>
      </c>
      <c r="C631" s="2" t="s">
        <v>1486</v>
      </c>
      <c r="D631" s="2">
        <v>1</v>
      </c>
      <c r="E631" s="27" t="s">
        <v>493</v>
      </c>
      <c r="F631" t="s">
        <v>374</v>
      </c>
      <c r="G631" s="47"/>
      <c r="H631" s="102"/>
      <c r="I631" s="63"/>
      <c r="J631" t="str">
        <f>CONCATENATE(Tabla1[[#This Row],[OBRA]],"/",Tabla1[[#This Row],[CODIGO ENSAYO]])</f>
        <v>17-1/13-9</v>
      </c>
      <c r="K631" s="2" t="str">
        <f>UPPER(TEXT(Tabla1[[#This Row],[FECHA INF]],"MMMM"))</f>
        <v>ENERO</v>
      </c>
      <c r="L63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0007A-24</v>
      </c>
    </row>
    <row r="632" spans="1:12" hidden="1" x14ac:dyDescent="0.25">
      <c r="A632" s="52">
        <v>45322</v>
      </c>
      <c r="B632" s="27" t="s">
        <v>522</v>
      </c>
      <c r="C632" s="2" t="s">
        <v>1487</v>
      </c>
      <c r="D632" s="2">
        <v>1</v>
      </c>
      <c r="E632" s="27" t="s">
        <v>224</v>
      </c>
      <c r="F632" t="s">
        <v>785</v>
      </c>
      <c r="G632" s="47"/>
      <c r="H632" s="102"/>
      <c r="I632" s="63"/>
      <c r="J632" t="str">
        <f>CONCATENATE(Tabla1[[#This Row],[OBRA]],"/",Tabla1[[#This Row],[CODIGO ENSAYO]])</f>
        <v>17-1/13-2</v>
      </c>
      <c r="K632" s="2" t="str">
        <f>UPPER(TEXT(Tabla1[[#This Row],[FECHA INF]],"MMMM"))</f>
        <v>ENERO</v>
      </c>
      <c r="L63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0008A-24</v>
      </c>
    </row>
    <row r="633" spans="1:12" hidden="1" x14ac:dyDescent="0.25">
      <c r="A633" s="52">
        <v>45322</v>
      </c>
      <c r="B633" s="27" t="s">
        <v>522</v>
      </c>
      <c r="C633" s="2" t="s">
        <v>1487</v>
      </c>
      <c r="D633" s="2">
        <v>1</v>
      </c>
      <c r="E633" s="27" t="s">
        <v>226</v>
      </c>
      <c r="F633" t="s">
        <v>787</v>
      </c>
      <c r="G633" s="47"/>
      <c r="H633" s="102"/>
      <c r="I633" s="63"/>
      <c r="J633" t="str">
        <f>CONCATENATE(Tabla1[[#This Row],[OBRA]],"/",Tabla1[[#This Row],[CODIGO ENSAYO]])</f>
        <v>17-1/13-4</v>
      </c>
      <c r="K633" s="2" t="str">
        <f>UPPER(TEXT(Tabla1[[#This Row],[FECHA INF]],"MMMM"))</f>
        <v>ENERO</v>
      </c>
      <c r="L63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0008A-24</v>
      </c>
    </row>
    <row r="634" spans="1:12" hidden="1" x14ac:dyDescent="0.25">
      <c r="A634" s="52">
        <v>45322</v>
      </c>
      <c r="B634" s="27" t="s">
        <v>522</v>
      </c>
      <c r="C634" s="2" t="s">
        <v>1488</v>
      </c>
      <c r="D634" s="2">
        <v>1</v>
      </c>
      <c r="E634" s="27" t="s">
        <v>493</v>
      </c>
      <c r="F634" t="s">
        <v>374</v>
      </c>
      <c r="G634" s="47"/>
      <c r="H634" s="102"/>
      <c r="I634" s="63"/>
      <c r="J634" t="str">
        <f>CONCATENATE(Tabla1[[#This Row],[OBRA]],"/",Tabla1[[#This Row],[CODIGO ENSAYO]])</f>
        <v>17-1/13-9</v>
      </c>
      <c r="K634" s="2" t="str">
        <f>UPPER(TEXT(Tabla1[[#This Row],[FECHA INF]],"MMMM"))</f>
        <v>ENERO</v>
      </c>
      <c r="L63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0009A-24</v>
      </c>
    </row>
    <row r="635" spans="1:12" hidden="1" x14ac:dyDescent="0.25">
      <c r="A635" s="52">
        <v>45322</v>
      </c>
      <c r="B635" s="27" t="s">
        <v>522</v>
      </c>
      <c r="C635" s="2" t="s">
        <v>1489</v>
      </c>
      <c r="D635" s="2">
        <v>1</v>
      </c>
      <c r="E635" s="27" t="s">
        <v>224</v>
      </c>
      <c r="F635" t="s">
        <v>785</v>
      </c>
      <c r="G635" s="47"/>
      <c r="H635" s="102"/>
      <c r="I635" s="63"/>
      <c r="J635" t="str">
        <f>CONCATENATE(Tabla1[[#This Row],[OBRA]],"/",Tabla1[[#This Row],[CODIGO ENSAYO]])</f>
        <v>17-1/13-2</v>
      </c>
      <c r="K635" s="2" t="str">
        <f>UPPER(TEXT(Tabla1[[#This Row],[FECHA INF]],"MMMM"))</f>
        <v>ENERO</v>
      </c>
      <c r="L63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0010A-24</v>
      </c>
    </row>
    <row r="636" spans="1:12" hidden="1" x14ac:dyDescent="0.25">
      <c r="A636" s="52">
        <v>45322</v>
      </c>
      <c r="B636" s="27" t="s">
        <v>522</v>
      </c>
      <c r="C636" s="2" t="s">
        <v>1489</v>
      </c>
      <c r="D636" s="2">
        <v>1</v>
      </c>
      <c r="E636" s="27" t="s">
        <v>226</v>
      </c>
      <c r="F636" t="s">
        <v>787</v>
      </c>
      <c r="G636" s="47"/>
      <c r="H636" s="102"/>
      <c r="I636" s="63"/>
      <c r="J636" t="str">
        <f>CONCATENATE(Tabla1[[#This Row],[OBRA]],"/",Tabla1[[#This Row],[CODIGO ENSAYO]])</f>
        <v>17-1/13-4</v>
      </c>
      <c r="K636" s="2" t="str">
        <f>UPPER(TEXT(Tabla1[[#This Row],[FECHA INF]],"MMMM"))</f>
        <v>ENERO</v>
      </c>
      <c r="L63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0010A-24</v>
      </c>
    </row>
    <row r="637" spans="1:12" hidden="1" x14ac:dyDescent="0.25">
      <c r="A637" s="52">
        <v>45322</v>
      </c>
      <c r="B637" s="27" t="s">
        <v>522</v>
      </c>
      <c r="C637" s="2" t="s">
        <v>1490</v>
      </c>
      <c r="D637" s="2">
        <v>1</v>
      </c>
      <c r="E637" s="27" t="s">
        <v>493</v>
      </c>
      <c r="F637" t="s">
        <v>374</v>
      </c>
      <c r="G637" s="47"/>
      <c r="H637" s="102"/>
      <c r="I637" s="63"/>
      <c r="J637" t="str">
        <f>CONCATENATE(Tabla1[[#This Row],[OBRA]],"/",Tabla1[[#This Row],[CODIGO ENSAYO]])</f>
        <v>17-1/13-9</v>
      </c>
      <c r="K637" s="2" t="str">
        <f>UPPER(TEXT(Tabla1[[#This Row],[FECHA INF]],"MMMM"))</f>
        <v>ENERO</v>
      </c>
      <c r="L63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0011A-24</v>
      </c>
    </row>
    <row r="638" spans="1:12" hidden="1" x14ac:dyDescent="0.25">
      <c r="A638" s="52">
        <v>45322</v>
      </c>
      <c r="B638" s="27" t="s">
        <v>522</v>
      </c>
      <c r="C638" s="2" t="s">
        <v>1491</v>
      </c>
      <c r="D638" s="2">
        <v>1</v>
      </c>
      <c r="E638" s="27" t="s">
        <v>225</v>
      </c>
      <c r="F638" t="s">
        <v>786</v>
      </c>
      <c r="G638" s="47"/>
      <c r="H638" s="102"/>
      <c r="I638" s="63"/>
      <c r="J638" t="str">
        <f>CONCATENATE(Tabla1[[#This Row],[OBRA]],"/",Tabla1[[#This Row],[CODIGO ENSAYO]])</f>
        <v>17-1/13-3</v>
      </c>
      <c r="K638" s="2" t="str">
        <f>UPPER(TEXT(Tabla1[[#This Row],[FECHA INF]],"MMMM"))</f>
        <v>ENERO</v>
      </c>
      <c r="L63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0012A-24</v>
      </c>
    </row>
    <row r="639" spans="1:12" hidden="1" x14ac:dyDescent="0.25">
      <c r="A639" s="52">
        <v>45322</v>
      </c>
      <c r="B639" s="27" t="s">
        <v>522</v>
      </c>
      <c r="C639" s="2" t="s">
        <v>1491</v>
      </c>
      <c r="D639" s="2">
        <v>1</v>
      </c>
      <c r="E639" s="27" t="s">
        <v>226</v>
      </c>
      <c r="F639" t="s">
        <v>787</v>
      </c>
      <c r="G639" s="47"/>
      <c r="H639" s="102"/>
      <c r="I639" s="63"/>
      <c r="J639" t="str">
        <f>CONCATENATE(Tabla1[[#This Row],[OBRA]],"/",Tabla1[[#This Row],[CODIGO ENSAYO]])</f>
        <v>17-1/13-4</v>
      </c>
      <c r="K639" s="2" t="str">
        <f>UPPER(TEXT(Tabla1[[#This Row],[FECHA INF]],"MMMM"))</f>
        <v>ENERO</v>
      </c>
      <c r="L63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0012A-24</v>
      </c>
    </row>
    <row r="640" spans="1:12" hidden="1" x14ac:dyDescent="0.25">
      <c r="A640" s="52">
        <v>45322</v>
      </c>
      <c r="B640" s="27" t="s">
        <v>148</v>
      </c>
      <c r="C640" s="2" t="s">
        <v>1494</v>
      </c>
      <c r="D640" s="2">
        <v>1</v>
      </c>
      <c r="E640" s="27" t="s">
        <v>123</v>
      </c>
      <c r="F640" t="s">
        <v>15</v>
      </c>
      <c r="G640" s="47"/>
      <c r="H640" s="102"/>
      <c r="I640" s="63"/>
      <c r="J640" t="str">
        <f>CONCATENATE(Tabla1[[#This Row],[OBRA]],"/",Tabla1[[#This Row],[CODIGO ENSAYO]])</f>
        <v>3-1/1-1</v>
      </c>
      <c r="K640" s="2" t="str">
        <f>UPPER(TEXT(Tabla1[[#This Row],[FECHA INF]],"MMMM"))</f>
        <v>ENERO</v>
      </c>
      <c r="L64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0021-24</v>
      </c>
    </row>
    <row r="641" spans="1:12" hidden="1" x14ac:dyDescent="0.25">
      <c r="A641" s="52">
        <v>45322</v>
      </c>
      <c r="B641" s="27" t="s">
        <v>148</v>
      </c>
      <c r="C641" s="2" t="s">
        <v>1495</v>
      </c>
      <c r="D641" s="2">
        <v>2</v>
      </c>
      <c r="E641" s="27" t="s">
        <v>123</v>
      </c>
      <c r="F641" t="s">
        <v>15</v>
      </c>
      <c r="G641" s="47"/>
      <c r="H641" s="102"/>
      <c r="I641" s="63"/>
      <c r="J641" t="str">
        <f>CONCATENATE(Tabla1[[#This Row],[OBRA]],"/",Tabla1[[#This Row],[CODIGO ENSAYO]])</f>
        <v>3-1/1-1</v>
      </c>
      <c r="K641" s="2" t="str">
        <f>UPPER(TEXT(Tabla1[[#This Row],[FECHA INF]],"MMMM"))</f>
        <v>ENERO</v>
      </c>
      <c r="L64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0024-24</v>
      </c>
    </row>
    <row r="642" spans="1:12" hidden="1" x14ac:dyDescent="0.25">
      <c r="A642" s="52">
        <v>45322</v>
      </c>
      <c r="B642" s="27" t="s">
        <v>148</v>
      </c>
      <c r="C642" s="2" t="s">
        <v>1496</v>
      </c>
      <c r="D642" s="2">
        <v>1</v>
      </c>
      <c r="E642" s="27" t="s">
        <v>123</v>
      </c>
      <c r="F642" t="s">
        <v>15</v>
      </c>
      <c r="G642" s="47"/>
      <c r="H642" s="102"/>
      <c r="I642" s="63"/>
      <c r="J642" t="str">
        <f>CONCATENATE(Tabla1[[#This Row],[OBRA]],"/",Tabla1[[#This Row],[CODIGO ENSAYO]])</f>
        <v>3-1/1-1</v>
      </c>
      <c r="K642" s="2" t="str">
        <f>UPPER(TEXT(Tabla1[[#This Row],[FECHA INF]],"MMMM"))</f>
        <v>ENERO</v>
      </c>
      <c r="L64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0025-24</v>
      </c>
    </row>
    <row r="643" spans="1:12" hidden="1" x14ac:dyDescent="0.25">
      <c r="A643" s="52">
        <v>45322</v>
      </c>
      <c r="B643" s="27" t="s">
        <v>148</v>
      </c>
      <c r="C643" s="2" t="s">
        <v>1497</v>
      </c>
      <c r="D643" s="2">
        <v>1</v>
      </c>
      <c r="E643" s="27" t="s">
        <v>123</v>
      </c>
      <c r="F643" t="s">
        <v>15</v>
      </c>
      <c r="G643" s="47"/>
      <c r="H643" s="102"/>
      <c r="I643" s="63"/>
      <c r="J643" t="str">
        <f>CONCATENATE(Tabla1[[#This Row],[OBRA]],"/",Tabla1[[#This Row],[CODIGO ENSAYO]])</f>
        <v>3-1/1-1</v>
      </c>
      <c r="K643" s="2" t="str">
        <f>UPPER(TEXT(Tabla1[[#This Row],[FECHA INF]],"MMMM"))</f>
        <v>ENERO</v>
      </c>
      <c r="L64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0027-24</v>
      </c>
    </row>
    <row r="644" spans="1:12" hidden="1" x14ac:dyDescent="0.25">
      <c r="A644" s="52">
        <v>45322</v>
      </c>
      <c r="B644" s="27" t="s">
        <v>148</v>
      </c>
      <c r="C644" s="2" t="s">
        <v>1498</v>
      </c>
      <c r="D644" s="2">
        <v>1</v>
      </c>
      <c r="E644" s="27" t="s">
        <v>123</v>
      </c>
      <c r="F644" t="s">
        <v>15</v>
      </c>
      <c r="G644" s="47"/>
      <c r="H644" s="102"/>
      <c r="I644" s="63"/>
      <c r="J644" t="str">
        <f>CONCATENATE(Tabla1[[#This Row],[OBRA]],"/",Tabla1[[#This Row],[CODIGO ENSAYO]])</f>
        <v>3-1/1-1</v>
      </c>
      <c r="K644" s="2" t="str">
        <f>UPPER(TEXT(Tabla1[[#This Row],[FECHA INF]],"MMMM"))</f>
        <v>ENERO</v>
      </c>
      <c r="L64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0029-24</v>
      </c>
    </row>
    <row r="645" spans="1:12" hidden="1" x14ac:dyDescent="0.25">
      <c r="A645" s="52">
        <v>45322</v>
      </c>
      <c r="B645" s="27" t="s">
        <v>148</v>
      </c>
      <c r="C645" s="2" t="s">
        <v>1499</v>
      </c>
      <c r="D645" s="2">
        <v>2</v>
      </c>
      <c r="E645" s="27" t="s">
        <v>123</v>
      </c>
      <c r="F645" t="s">
        <v>15</v>
      </c>
      <c r="G645" s="47"/>
      <c r="H645" s="102"/>
      <c r="I645" s="63"/>
      <c r="J645" t="str">
        <f>CONCATENATE(Tabla1[[#This Row],[OBRA]],"/",Tabla1[[#This Row],[CODIGO ENSAYO]])</f>
        <v>3-1/1-1</v>
      </c>
      <c r="K645" s="2" t="str">
        <f>UPPER(TEXT(Tabla1[[#This Row],[FECHA INF]],"MMMM"))</f>
        <v>ENERO</v>
      </c>
      <c r="L64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0030-24</v>
      </c>
    </row>
    <row r="646" spans="1:12" hidden="1" x14ac:dyDescent="0.25">
      <c r="A646" s="52">
        <v>45351</v>
      </c>
      <c r="B646" s="27" t="s">
        <v>148</v>
      </c>
      <c r="C646" s="2" t="s">
        <v>1500</v>
      </c>
      <c r="D646" s="2">
        <v>3</v>
      </c>
      <c r="E646" s="27" t="s">
        <v>123</v>
      </c>
      <c r="F646" t="s">
        <v>15</v>
      </c>
      <c r="G646" s="47"/>
      <c r="H646" s="102"/>
      <c r="I646" s="63"/>
      <c r="J646" t="str">
        <f>CONCATENATE(Tabla1[[#This Row],[OBRA]],"/",Tabla1[[#This Row],[CODIGO ENSAYO]])</f>
        <v>3-1/1-1</v>
      </c>
      <c r="K646" s="2" t="str">
        <f>UPPER(TEXT(Tabla1[[#This Row],[FECHA INF]],"MMMM"))</f>
        <v>FEBRERO</v>
      </c>
      <c r="L64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0031-24</v>
      </c>
    </row>
    <row r="647" spans="1:12" hidden="1" x14ac:dyDescent="0.25">
      <c r="A647" s="52">
        <v>45351</v>
      </c>
      <c r="B647" s="27" t="s">
        <v>148</v>
      </c>
      <c r="C647" s="2" t="s">
        <v>1501</v>
      </c>
      <c r="D647" s="2">
        <v>1</v>
      </c>
      <c r="E647" s="27" t="s">
        <v>123</v>
      </c>
      <c r="F647" t="s">
        <v>15</v>
      </c>
      <c r="G647" s="47"/>
      <c r="H647" s="102"/>
      <c r="I647" s="63"/>
      <c r="J647" t="str">
        <f>CONCATENATE(Tabla1[[#This Row],[OBRA]],"/",Tabla1[[#This Row],[CODIGO ENSAYO]])</f>
        <v>3-1/1-1</v>
      </c>
      <c r="K647" s="2" t="str">
        <f>UPPER(TEXT(Tabla1[[#This Row],[FECHA INF]],"MMMM"))</f>
        <v>FEBRERO</v>
      </c>
      <c r="L64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0033-24</v>
      </c>
    </row>
    <row r="648" spans="1:12" hidden="1" x14ac:dyDescent="0.25">
      <c r="A648" s="52">
        <v>45351</v>
      </c>
      <c r="B648" s="27" t="s">
        <v>148</v>
      </c>
      <c r="C648" s="2" t="s">
        <v>1502</v>
      </c>
      <c r="D648" s="2">
        <v>1</v>
      </c>
      <c r="E648" s="27" t="s">
        <v>123</v>
      </c>
      <c r="F648" t="s">
        <v>15</v>
      </c>
      <c r="G648" s="47"/>
      <c r="H648" s="102"/>
      <c r="I648" s="63"/>
      <c r="J648" t="str">
        <f>CONCATENATE(Tabla1[[#This Row],[OBRA]],"/",Tabla1[[#This Row],[CODIGO ENSAYO]])</f>
        <v>3-1/1-1</v>
      </c>
      <c r="K648" s="2" t="str">
        <f>UPPER(TEXT(Tabla1[[#This Row],[FECHA INF]],"MMMM"))</f>
        <v>FEBRERO</v>
      </c>
      <c r="L64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0037-24</v>
      </c>
    </row>
    <row r="649" spans="1:12" hidden="1" x14ac:dyDescent="0.25">
      <c r="A649" s="52">
        <v>45351</v>
      </c>
      <c r="B649" s="27" t="s">
        <v>148</v>
      </c>
      <c r="C649" s="2" t="s">
        <v>1503</v>
      </c>
      <c r="D649" s="2">
        <v>1</v>
      </c>
      <c r="E649" s="27" t="s">
        <v>123</v>
      </c>
      <c r="F649" t="s">
        <v>15</v>
      </c>
      <c r="G649" s="47"/>
      <c r="H649" s="102"/>
      <c r="I649" s="63"/>
      <c r="J649" t="str">
        <f>CONCATENATE(Tabla1[[#This Row],[OBRA]],"/",Tabla1[[#This Row],[CODIGO ENSAYO]])</f>
        <v>3-1/1-1</v>
      </c>
      <c r="K649" s="2" t="str">
        <f>UPPER(TEXT(Tabla1[[#This Row],[FECHA INF]],"MMMM"))</f>
        <v>FEBRERO</v>
      </c>
      <c r="L64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0039-24</v>
      </c>
    </row>
    <row r="650" spans="1:12" hidden="1" x14ac:dyDescent="0.25">
      <c r="A650" s="52">
        <v>45351</v>
      </c>
      <c r="B650" s="27" t="s">
        <v>148</v>
      </c>
      <c r="C650" s="2" t="s">
        <v>1504</v>
      </c>
      <c r="D650" s="2">
        <v>2</v>
      </c>
      <c r="E650" s="27" t="s">
        <v>123</v>
      </c>
      <c r="F650" t="s">
        <v>15</v>
      </c>
      <c r="G650" s="47"/>
      <c r="H650" s="102"/>
      <c r="I650" s="63"/>
      <c r="J650" t="str">
        <f>CONCATENATE(Tabla1[[#This Row],[OBRA]],"/",Tabla1[[#This Row],[CODIGO ENSAYO]])</f>
        <v>3-1/1-1</v>
      </c>
      <c r="K650" s="2" t="str">
        <f>UPPER(TEXT(Tabla1[[#This Row],[FECHA INF]],"MMMM"))</f>
        <v>FEBRERO</v>
      </c>
      <c r="L65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0054-24</v>
      </c>
    </row>
    <row r="651" spans="1:12" hidden="1" x14ac:dyDescent="0.25">
      <c r="A651" s="52">
        <v>45351</v>
      </c>
      <c r="B651" s="27" t="s">
        <v>148</v>
      </c>
      <c r="C651" s="2" t="s">
        <v>1505</v>
      </c>
      <c r="D651" s="2">
        <v>3</v>
      </c>
      <c r="E651" s="27" t="s">
        <v>123</v>
      </c>
      <c r="F651" t="s">
        <v>15</v>
      </c>
      <c r="G651" s="47"/>
      <c r="H651" s="102"/>
      <c r="I651" s="63"/>
      <c r="J651" t="str">
        <f>CONCATENATE(Tabla1[[#This Row],[OBRA]],"/",Tabla1[[#This Row],[CODIGO ENSAYO]])</f>
        <v>3-1/1-1</v>
      </c>
      <c r="K651" s="2" t="str">
        <f>UPPER(TEXT(Tabla1[[#This Row],[FECHA INF]],"MMMM"))</f>
        <v>FEBRERO</v>
      </c>
      <c r="L65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0056-24</v>
      </c>
    </row>
    <row r="652" spans="1:12" hidden="1" x14ac:dyDescent="0.25">
      <c r="A652" s="52">
        <v>45351</v>
      </c>
      <c r="B652" s="27" t="s">
        <v>148</v>
      </c>
      <c r="C652" s="2" t="s">
        <v>1506</v>
      </c>
      <c r="D652" s="2">
        <v>3</v>
      </c>
      <c r="E652" s="27" t="s">
        <v>123</v>
      </c>
      <c r="F652" t="s">
        <v>15</v>
      </c>
      <c r="G652" s="47"/>
      <c r="H652" s="102"/>
      <c r="I652" s="63"/>
      <c r="J652" t="str">
        <f>CONCATENATE(Tabla1[[#This Row],[OBRA]],"/",Tabla1[[#This Row],[CODIGO ENSAYO]])</f>
        <v>3-1/1-1</v>
      </c>
      <c r="K652" s="2" t="str">
        <f>UPPER(TEXT(Tabla1[[#This Row],[FECHA INF]],"MMMM"))</f>
        <v>FEBRERO</v>
      </c>
      <c r="L65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0058-24</v>
      </c>
    </row>
    <row r="653" spans="1:12" hidden="1" x14ac:dyDescent="0.25">
      <c r="A653" s="52">
        <v>45351</v>
      </c>
      <c r="B653" s="27" t="s">
        <v>148</v>
      </c>
      <c r="C653" s="2" t="s">
        <v>1507</v>
      </c>
      <c r="D653" s="2">
        <v>3</v>
      </c>
      <c r="E653" s="27" t="s">
        <v>123</v>
      </c>
      <c r="F653" t="s">
        <v>15</v>
      </c>
      <c r="G653" s="47"/>
      <c r="H653" s="102"/>
      <c r="I653" s="63"/>
      <c r="J653" t="str">
        <f>CONCATENATE(Tabla1[[#This Row],[OBRA]],"/",Tabla1[[#This Row],[CODIGO ENSAYO]])</f>
        <v>3-1/1-1</v>
      </c>
      <c r="K653" s="2" t="str">
        <f>UPPER(TEXT(Tabla1[[#This Row],[FECHA INF]],"MMMM"))</f>
        <v>FEBRERO</v>
      </c>
      <c r="L65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0059-24</v>
      </c>
    </row>
    <row r="654" spans="1:12" hidden="1" x14ac:dyDescent="0.25">
      <c r="A654" s="52">
        <v>45351</v>
      </c>
      <c r="B654" s="27" t="s">
        <v>148</v>
      </c>
      <c r="C654" s="2" t="s">
        <v>1508</v>
      </c>
      <c r="D654" s="2">
        <v>1</v>
      </c>
      <c r="E654" s="27" t="s">
        <v>123</v>
      </c>
      <c r="F654" t="s">
        <v>15</v>
      </c>
      <c r="G654" s="47"/>
      <c r="H654" s="102"/>
      <c r="I654" s="63"/>
      <c r="J654" t="str">
        <f>CONCATENATE(Tabla1[[#This Row],[OBRA]],"/",Tabla1[[#This Row],[CODIGO ENSAYO]])</f>
        <v>3-1/1-1</v>
      </c>
      <c r="K654" s="2" t="str">
        <f>UPPER(TEXT(Tabla1[[#This Row],[FECHA INF]],"MMMM"))</f>
        <v>FEBRERO</v>
      </c>
      <c r="L65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0061-24</v>
      </c>
    </row>
    <row r="655" spans="1:12" hidden="1" x14ac:dyDescent="0.25">
      <c r="A655" s="52">
        <v>45382</v>
      </c>
      <c r="B655" s="27" t="s">
        <v>522</v>
      </c>
      <c r="C655" s="2" t="s">
        <v>1524</v>
      </c>
      <c r="D655" s="2">
        <v>2</v>
      </c>
      <c r="E655" s="27" t="s">
        <v>175</v>
      </c>
      <c r="F655" t="s">
        <v>390</v>
      </c>
      <c r="G655" s="47"/>
      <c r="H655" s="102"/>
      <c r="I655" s="63"/>
      <c r="J655" t="str">
        <f>CONCATENATE(Tabla1[[#This Row],[OBRA]],"/",Tabla1[[#This Row],[CODIGO ENSAYO]])</f>
        <v>17-1/7-1</v>
      </c>
      <c r="K655" s="2" t="str">
        <f>UPPER(TEXT(Tabla1[[#This Row],[FECHA INF]],"MMMM"))</f>
        <v>MARZO</v>
      </c>
      <c r="L65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(TRANSPORTE 07-17 DE MARZO 2024)</v>
      </c>
    </row>
    <row r="656" spans="1:12" hidden="1" x14ac:dyDescent="0.25">
      <c r="A656" s="52">
        <v>45382</v>
      </c>
      <c r="B656" s="27" t="s">
        <v>522</v>
      </c>
      <c r="C656" s="2" t="s">
        <v>1515</v>
      </c>
      <c r="D656" s="2">
        <v>3</v>
      </c>
      <c r="E656" s="27" t="s">
        <v>123</v>
      </c>
      <c r="F656" t="s">
        <v>15</v>
      </c>
      <c r="G656" s="47"/>
      <c r="H656" s="102"/>
      <c r="I656" s="63"/>
      <c r="J656" t="str">
        <f>CONCATENATE(Tabla1[[#This Row],[OBRA]],"/",Tabla1[[#This Row],[CODIGO ENSAYO]])</f>
        <v>17-1/1-1</v>
      </c>
      <c r="K656" s="2" t="str">
        <f>UPPER(TEXT(Tabla1[[#This Row],[FECHA INF]],"MMMM"))</f>
        <v>MARZO</v>
      </c>
      <c r="L65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0065-24</v>
      </c>
    </row>
    <row r="657" spans="1:12" hidden="1" x14ac:dyDescent="0.25">
      <c r="A657" s="52">
        <v>45382</v>
      </c>
      <c r="B657" s="27" t="s">
        <v>522</v>
      </c>
      <c r="C657" s="2" t="s">
        <v>1516</v>
      </c>
      <c r="D657" s="2">
        <v>6</v>
      </c>
      <c r="E657" s="27" t="s">
        <v>123</v>
      </c>
      <c r="F657" t="s">
        <v>15</v>
      </c>
      <c r="G657" s="47"/>
      <c r="H657" s="102"/>
      <c r="I657" s="63"/>
      <c r="J657" t="str">
        <f>CONCATENATE(Tabla1[[#This Row],[OBRA]],"/",Tabla1[[#This Row],[CODIGO ENSAYO]])</f>
        <v>17-1/1-1</v>
      </c>
      <c r="K657" s="2" t="str">
        <f>UPPER(TEXT(Tabla1[[#This Row],[FECHA INF]],"MMMM"))</f>
        <v>MARZO</v>
      </c>
      <c r="L65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0072-24</v>
      </c>
    </row>
    <row r="658" spans="1:12" hidden="1" x14ac:dyDescent="0.25">
      <c r="A658" s="52">
        <v>45382</v>
      </c>
      <c r="B658" s="27" t="s">
        <v>522</v>
      </c>
      <c r="C658" s="2" t="s">
        <v>1517</v>
      </c>
      <c r="D658" s="2">
        <v>6</v>
      </c>
      <c r="E658" s="27" t="s">
        <v>123</v>
      </c>
      <c r="F658" t="s">
        <v>15</v>
      </c>
      <c r="G658" s="47"/>
      <c r="H658" s="102"/>
      <c r="I658" s="63"/>
      <c r="J658" t="str">
        <f>CONCATENATE(Tabla1[[#This Row],[OBRA]],"/",Tabla1[[#This Row],[CODIGO ENSAYO]])</f>
        <v>17-1/1-1</v>
      </c>
      <c r="K658" s="2" t="str">
        <f>UPPER(TEXT(Tabla1[[#This Row],[FECHA INF]],"MMMM"))</f>
        <v>MARZO</v>
      </c>
      <c r="L65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0074-24</v>
      </c>
    </row>
    <row r="659" spans="1:12" hidden="1" x14ac:dyDescent="0.25">
      <c r="A659" s="52">
        <v>45382</v>
      </c>
      <c r="B659" s="27" t="s">
        <v>148</v>
      </c>
      <c r="C659" s="2" t="s">
        <v>1510</v>
      </c>
      <c r="D659" s="2">
        <v>3</v>
      </c>
      <c r="E659" s="27" t="s">
        <v>123</v>
      </c>
      <c r="F659" t="s">
        <v>15</v>
      </c>
      <c r="G659" s="47"/>
      <c r="H659" s="102"/>
      <c r="I659" s="63"/>
      <c r="J659" t="str">
        <f>CONCATENATE(Tabla1[[#This Row],[OBRA]],"/",Tabla1[[#This Row],[CODIGO ENSAYO]])</f>
        <v>3-1/1-1</v>
      </c>
      <c r="K659" s="2" t="str">
        <f>UPPER(TEXT(Tabla1[[#This Row],[FECHA INF]],"MMMM"))</f>
        <v>MARZO</v>
      </c>
      <c r="L65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0076-24</v>
      </c>
    </row>
    <row r="660" spans="1:12" hidden="1" x14ac:dyDescent="0.25">
      <c r="A660" s="52">
        <v>45382</v>
      </c>
      <c r="B660" s="27" t="s">
        <v>148</v>
      </c>
      <c r="C660" s="2" t="s">
        <v>1511</v>
      </c>
      <c r="D660" s="2">
        <v>1</v>
      </c>
      <c r="E660" s="27" t="s">
        <v>123</v>
      </c>
      <c r="F660" t="s">
        <v>15</v>
      </c>
      <c r="G660" s="47"/>
      <c r="H660" s="102"/>
      <c r="I660" s="63"/>
      <c r="J660" t="str">
        <f>CONCATENATE(Tabla1[[#This Row],[OBRA]],"/",Tabla1[[#This Row],[CODIGO ENSAYO]])</f>
        <v>3-1/1-1</v>
      </c>
      <c r="K660" s="2" t="str">
        <f>UPPER(TEXT(Tabla1[[#This Row],[FECHA INF]],"MMMM"))</f>
        <v>MARZO</v>
      </c>
      <c r="L66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0078-24</v>
      </c>
    </row>
    <row r="661" spans="1:12" hidden="1" x14ac:dyDescent="0.25">
      <c r="A661" s="52">
        <v>45382</v>
      </c>
      <c r="B661" s="27" t="s">
        <v>148</v>
      </c>
      <c r="C661" s="2" t="s">
        <v>1512</v>
      </c>
      <c r="D661" s="2">
        <v>2</v>
      </c>
      <c r="E661" s="27" t="s">
        <v>123</v>
      </c>
      <c r="F661" t="s">
        <v>15</v>
      </c>
      <c r="G661" s="47"/>
      <c r="H661" s="102"/>
      <c r="I661" s="63"/>
      <c r="J661" t="str">
        <f>CONCATENATE(Tabla1[[#This Row],[OBRA]],"/",Tabla1[[#This Row],[CODIGO ENSAYO]])</f>
        <v>3-1/1-1</v>
      </c>
      <c r="K661" s="2" t="str">
        <f>UPPER(TEXT(Tabla1[[#This Row],[FECHA INF]],"MMMM"))</f>
        <v>MARZO</v>
      </c>
      <c r="L66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0080-24</v>
      </c>
    </row>
    <row r="662" spans="1:12" hidden="1" x14ac:dyDescent="0.25">
      <c r="A662" s="52">
        <v>45382</v>
      </c>
      <c r="B662" s="27" t="s">
        <v>148</v>
      </c>
      <c r="C662" s="2" t="s">
        <v>1513</v>
      </c>
      <c r="D662" s="2">
        <v>1</v>
      </c>
      <c r="E662" s="27" t="s">
        <v>123</v>
      </c>
      <c r="F662" t="s">
        <v>15</v>
      </c>
      <c r="G662" s="47"/>
      <c r="H662" s="102"/>
      <c r="I662" s="63"/>
      <c r="J662" t="str">
        <f>CONCATENATE(Tabla1[[#This Row],[OBRA]],"/",Tabla1[[#This Row],[CODIGO ENSAYO]])</f>
        <v>3-1/1-1</v>
      </c>
      <c r="K662" s="2" t="str">
        <f>UPPER(TEXT(Tabla1[[#This Row],[FECHA INF]],"MMMM"))</f>
        <v>MARZO</v>
      </c>
      <c r="L66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0081-24</v>
      </c>
    </row>
    <row r="663" spans="1:12" hidden="1" x14ac:dyDescent="0.25">
      <c r="A663" s="52">
        <v>45382</v>
      </c>
      <c r="B663" s="27" t="s">
        <v>148</v>
      </c>
      <c r="C663" s="2" t="s">
        <v>1514</v>
      </c>
      <c r="D663" s="2">
        <v>3</v>
      </c>
      <c r="E663" s="27" t="s">
        <v>123</v>
      </c>
      <c r="F663" t="s">
        <v>15</v>
      </c>
      <c r="G663" s="47"/>
      <c r="H663" s="102"/>
      <c r="I663" s="63"/>
      <c r="J663" t="str">
        <f>CONCATENATE(Tabla1[[#This Row],[OBRA]],"/",Tabla1[[#This Row],[CODIGO ENSAYO]])</f>
        <v>3-1/1-1</v>
      </c>
      <c r="K663" s="2" t="str">
        <f>UPPER(TEXT(Tabla1[[#This Row],[FECHA INF]],"MMMM"))</f>
        <v>MARZO</v>
      </c>
      <c r="L66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0083-24</v>
      </c>
    </row>
    <row r="664" spans="1:12" hidden="1" x14ac:dyDescent="0.25">
      <c r="A664" s="52">
        <v>45382</v>
      </c>
      <c r="B664" s="27" t="s">
        <v>522</v>
      </c>
      <c r="C664" s="2" t="s">
        <v>1518</v>
      </c>
      <c r="D664" s="2">
        <v>6</v>
      </c>
      <c r="E664" s="27" t="s">
        <v>123</v>
      </c>
      <c r="F664" t="s">
        <v>15</v>
      </c>
      <c r="G664" s="47"/>
      <c r="H664" s="102"/>
      <c r="I664" s="63"/>
      <c r="J664" t="str">
        <f>CONCATENATE(Tabla1[[#This Row],[OBRA]],"/",Tabla1[[#This Row],[CODIGO ENSAYO]])</f>
        <v>17-1/1-1</v>
      </c>
      <c r="K664" s="2" t="str">
        <f>UPPER(TEXT(Tabla1[[#This Row],[FECHA INF]],"MMMM"))</f>
        <v>MARZO</v>
      </c>
      <c r="L66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0085-24</v>
      </c>
    </row>
    <row r="665" spans="1:12" hidden="1" x14ac:dyDescent="0.25">
      <c r="A665" s="52">
        <v>45382</v>
      </c>
      <c r="B665" s="27" t="s">
        <v>522</v>
      </c>
      <c r="C665" s="2" t="s">
        <v>1519</v>
      </c>
      <c r="D665" s="2">
        <v>6</v>
      </c>
      <c r="E665" s="27" t="s">
        <v>123</v>
      </c>
      <c r="F665" t="s">
        <v>15</v>
      </c>
      <c r="G665" s="47"/>
      <c r="H665" s="102"/>
      <c r="I665" s="63"/>
      <c r="J665" t="str">
        <f>CONCATENATE(Tabla1[[#This Row],[OBRA]],"/",Tabla1[[#This Row],[CODIGO ENSAYO]])</f>
        <v>17-1/1-1</v>
      </c>
      <c r="K665" s="2" t="str">
        <f>UPPER(TEXT(Tabla1[[#This Row],[FECHA INF]],"MMMM"))</f>
        <v>MARZO</v>
      </c>
      <c r="L66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0089-24</v>
      </c>
    </row>
    <row r="666" spans="1:12" hidden="1" x14ac:dyDescent="0.25">
      <c r="A666" s="52">
        <v>45382</v>
      </c>
      <c r="B666" s="27" t="s">
        <v>522</v>
      </c>
      <c r="C666" s="2" t="s">
        <v>1520</v>
      </c>
      <c r="D666" s="2">
        <v>6</v>
      </c>
      <c r="E666" s="27" t="s">
        <v>123</v>
      </c>
      <c r="F666" t="s">
        <v>15</v>
      </c>
      <c r="G666" s="47"/>
      <c r="H666" s="102"/>
      <c r="I666" s="63"/>
      <c r="J666" t="str">
        <f>CONCATENATE(Tabla1[[#This Row],[OBRA]],"/",Tabla1[[#This Row],[CODIGO ENSAYO]])</f>
        <v>17-1/1-1</v>
      </c>
      <c r="K666" s="2" t="str">
        <f>UPPER(TEXT(Tabla1[[#This Row],[FECHA INF]],"MMMM"))</f>
        <v>MARZO</v>
      </c>
      <c r="L66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0092-24</v>
      </c>
    </row>
    <row r="667" spans="1:12" hidden="1" x14ac:dyDescent="0.25">
      <c r="A667" s="52">
        <v>45382</v>
      </c>
      <c r="B667" s="27" t="s">
        <v>522</v>
      </c>
      <c r="C667" s="2" t="s">
        <v>1521</v>
      </c>
      <c r="D667" s="2">
        <v>9</v>
      </c>
      <c r="E667" s="27" t="s">
        <v>123</v>
      </c>
      <c r="F667" t="s">
        <v>15</v>
      </c>
      <c r="G667" s="47"/>
      <c r="H667" s="102"/>
      <c r="I667" s="63"/>
      <c r="J667" t="str">
        <f>CONCATENATE(Tabla1[[#This Row],[OBRA]],"/",Tabla1[[#This Row],[CODIGO ENSAYO]])</f>
        <v>17-1/1-1</v>
      </c>
      <c r="K667" s="2" t="str">
        <f>UPPER(TEXT(Tabla1[[#This Row],[FECHA INF]],"MMMM"))</f>
        <v>MARZO</v>
      </c>
      <c r="L66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0097-24</v>
      </c>
    </row>
    <row r="668" spans="1:12" hidden="1" x14ac:dyDescent="0.25">
      <c r="A668" s="52">
        <v>45382</v>
      </c>
      <c r="B668" s="27" t="s">
        <v>522</v>
      </c>
      <c r="C668" s="2" t="s">
        <v>1522</v>
      </c>
      <c r="D668" s="2">
        <v>6</v>
      </c>
      <c r="E668" s="27" t="s">
        <v>123</v>
      </c>
      <c r="F668" t="s">
        <v>15</v>
      </c>
      <c r="G668" s="47"/>
      <c r="H668" s="102"/>
      <c r="I668" s="63"/>
      <c r="J668" t="str">
        <f>CONCATENATE(Tabla1[[#This Row],[OBRA]],"/",Tabla1[[#This Row],[CODIGO ENSAYO]])</f>
        <v>17-1/1-1</v>
      </c>
      <c r="K668" s="2" t="str">
        <f>UPPER(TEXT(Tabla1[[#This Row],[FECHA INF]],"MMMM"))</f>
        <v>MARZO</v>
      </c>
      <c r="L66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0099-24</v>
      </c>
    </row>
    <row r="669" spans="1:12" hidden="1" x14ac:dyDescent="0.25">
      <c r="A669" s="52">
        <v>45382</v>
      </c>
      <c r="B669" s="27" t="s">
        <v>522</v>
      </c>
      <c r="C669" s="2" t="s">
        <v>1523</v>
      </c>
      <c r="D669" s="2">
        <v>6</v>
      </c>
      <c r="E669" s="27" t="s">
        <v>123</v>
      </c>
      <c r="F669" t="s">
        <v>15</v>
      </c>
      <c r="G669" s="47"/>
      <c r="H669" s="102"/>
      <c r="I669" s="63"/>
      <c r="J669" t="str">
        <f>CONCATENATE(Tabla1[[#This Row],[OBRA]],"/",Tabla1[[#This Row],[CODIGO ENSAYO]])</f>
        <v>17-1/1-1</v>
      </c>
      <c r="K669" s="2" t="str">
        <f>UPPER(TEXT(Tabla1[[#This Row],[FECHA INF]],"MMMM"))</f>
        <v>MARZO</v>
      </c>
      <c r="L66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0102-24</v>
      </c>
    </row>
    <row r="670" spans="1:12" hidden="1" x14ac:dyDescent="0.25">
      <c r="A670" s="52">
        <v>45385</v>
      </c>
      <c r="B670" s="27" t="s">
        <v>304</v>
      </c>
      <c r="C670" s="2" t="s">
        <v>1526</v>
      </c>
      <c r="D670" s="2">
        <v>1</v>
      </c>
      <c r="E670" s="27" t="s">
        <v>139</v>
      </c>
      <c r="F670" t="s">
        <v>468</v>
      </c>
      <c r="G670" s="47"/>
      <c r="H670" s="102"/>
      <c r="I670" s="63"/>
      <c r="J670" t="str">
        <f>CONCATENATE(Tabla1[[#This Row],[OBRA]],"/",Tabla1[[#This Row],[CODIGO ENSAYO]])</f>
        <v>15-1/2-3</v>
      </c>
      <c r="K670" s="2" t="str">
        <f>UPPER(TEXT(Tabla1[[#This Row],[FECHA INF]],"MMMM"))</f>
        <v>ABRIL</v>
      </c>
      <c r="L67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0103-24</v>
      </c>
    </row>
    <row r="671" spans="1:12" hidden="1" x14ac:dyDescent="0.25">
      <c r="A671" s="52">
        <v>45385</v>
      </c>
      <c r="B671" s="27" t="s">
        <v>304</v>
      </c>
      <c r="C671" s="2" t="s">
        <v>1527</v>
      </c>
      <c r="D671" s="2">
        <v>1</v>
      </c>
      <c r="E671" s="27" t="s">
        <v>166</v>
      </c>
      <c r="F671" t="s">
        <v>44</v>
      </c>
      <c r="G671" s="47"/>
      <c r="H671" s="102"/>
      <c r="I671" s="63"/>
      <c r="J671" t="str">
        <f>CONCATENATE(Tabla1[[#This Row],[OBRA]],"/",Tabla1[[#This Row],[CODIGO ENSAYO]])</f>
        <v>15-1/4-12</v>
      </c>
      <c r="K671" s="2" t="str">
        <f>UPPER(TEXT(Tabla1[[#This Row],[FECHA INF]],"MMMM"))</f>
        <v>ABRIL</v>
      </c>
      <c r="L67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0104-24</v>
      </c>
    </row>
    <row r="672" spans="1:12" hidden="1" x14ac:dyDescent="0.25">
      <c r="A672" s="52">
        <v>45385</v>
      </c>
      <c r="B672" s="27" t="s">
        <v>304</v>
      </c>
      <c r="C672" s="2" t="s">
        <v>1528</v>
      </c>
      <c r="D672" s="2">
        <v>1</v>
      </c>
      <c r="E672" s="27" t="s">
        <v>160</v>
      </c>
      <c r="F672" t="s">
        <v>40</v>
      </c>
      <c r="G672" s="47"/>
      <c r="H672" s="102"/>
      <c r="I672" s="63"/>
      <c r="J672" t="str">
        <f>CONCATENATE(Tabla1[[#This Row],[OBRA]],"/",Tabla1[[#This Row],[CODIGO ENSAYO]])</f>
        <v>15-1/4-5</v>
      </c>
      <c r="K672" s="2" t="str">
        <f>UPPER(TEXT(Tabla1[[#This Row],[FECHA INF]],"MMMM"))</f>
        <v>ABRIL</v>
      </c>
      <c r="L67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0105-24</v>
      </c>
    </row>
    <row r="673" spans="1:12" hidden="1" x14ac:dyDescent="0.25">
      <c r="A673" s="52">
        <v>45385</v>
      </c>
      <c r="B673" s="27" t="s">
        <v>304</v>
      </c>
      <c r="C673" s="2" t="s">
        <v>1529</v>
      </c>
      <c r="D673" s="2">
        <v>1</v>
      </c>
      <c r="E673" s="27" t="s">
        <v>158</v>
      </c>
      <c r="F673" t="s">
        <v>38</v>
      </c>
      <c r="G673" s="47"/>
      <c r="H673" s="102"/>
      <c r="I673" s="63"/>
      <c r="J673" t="str">
        <f>CONCATENATE(Tabla1[[#This Row],[OBRA]],"/",Tabla1[[#This Row],[CODIGO ENSAYO]])</f>
        <v>15-1/4-3</v>
      </c>
      <c r="K673" s="2" t="str">
        <f>UPPER(TEXT(Tabla1[[#This Row],[FECHA INF]],"MMMM"))</f>
        <v>ABRIL</v>
      </c>
      <c r="L67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0106-24</v>
      </c>
    </row>
    <row r="674" spans="1:12" hidden="1" x14ac:dyDescent="0.25">
      <c r="A674" s="52">
        <v>45385</v>
      </c>
      <c r="B674" s="27" t="s">
        <v>304</v>
      </c>
      <c r="C674" s="2" t="s">
        <v>1530</v>
      </c>
      <c r="D674" s="2">
        <v>1</v>
      </c>
      <c r="E674" s="27" t="s">
        <v>157</v>
      </c>
      <c r="F674" t="s">
        <v>37</v>
      </c>
      <c r="G674" s="47"/>
      <c r="H674" s="102"/>
      <c r="I674" s="63"/>
      <c r="J674" t="str">
        <f>CONCATENATE(Tabla1[[#This Row],[OBRA]],"/",Tabla1[[#This Row],[CODIGO ENSAYO]])</f>
        <v>15-1/4-2</v>
      </c>
      <c r="K674" s="2" t="str">
        <f>UPPER(TEXT(Tabla1[[#This Row],[FECHA INF]],"MMMM"))</f>
        <v>ABRIL</v>
      </c>
      <c r="L67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0107-24</v>
      </c>
    </row>
    <row r="675" spans="1:12" hidden="1" x14ac:dyDescent="0.25">
      <c r="A675" s="52">
        <v>45412</v>
      </c>
      <c r="B675" s="27" t="s">
        <v>522</v>
      </c>
      <c r="C675" s="2" t="s">
        <v>1556</v>
      </c>
      <c r="D675" s="2">
        <v>4</v>
      </c>
      <c r="E675" s="27" t="s">
        <v>175</v>
      </c>
      <c r="F675" t="s">
        <v>390</v>
      </c>
      <c r="G675" s="47"/>
      <c r="H675" s="102"/>
      <c r="I675" s="63"/>
      <c r="J675" t="str">
        <f>CONCATENATE(Tabla1[[#This Row],[OBRA]],"/",Tabla1[[#This Row],[CODIGO ENSAYO]])</f>
        <v>17-1/7-1</v>
      </c>
      <c r="K675" s="2" t="str">
        <f>UPPER(TEXT(Tabla1[[#This Row],[FECHA INF]],"MMMM"))</f>
        <v>ABRIL</v>
      </c>
      <c r="L67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(Transporte 01-10-19-29 de Abril de 2024)</v>
      </c>
    </row>
    <row r="676" spans="1:12" hidden="1" x14ac:dyDescent="0.25">
      <c r="A676" s="52">
        <v>45412</v>
      </c>
      <c r="B676" s="27" t="s">
        <v>522</v>
      </c>
      <c r="C676" s="2" t="s">
        <v>1539</v>
      </c>
      <c r="D676" s="2">
        <v>2</v>
      </c>
      <c r="E676" s="27" t="s">
        <v>123</v>
      </c>
      <c r="F676" t="s">
        <v>15</v>
      </c>
      <c r="G676" s="47"/>
      <c r="H676" s="102"/>
      <c r="I676" s="63"/>
      <c r="J676" t="str">
        <f>CONCATENATE(Tabla1[[#This Row],[OBRA]],"/",Tabla1[[#This Row],[CODIGO ENSAYO]])</f>
        <v>17-1/1-1</v>
      </c>
      <c r="K676" s="2" t="str">
        <f>UPPER(TEXT(Tabla1[[#This Row],[FECHA INF]],"MMMM"))</f>
        <v>ABRIL</v>
      </c>
      <c r="L67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0108-24</v>
      </c>
    </row>
    <row r="677" spans="1:12" hidden="1" x14ac:dyDescent="0.25">
      <c r="A677" s="52">
        <v>45412</v>
      </c>
      <c r="B677" s="27" t="s">
        <v>522</v>
      </c>
      <c r="C677" s="2" t="s">
        <v>1540</v>
      </c>
      <c r="D677" s="2">
        <v>11</v>
      </c>
      <c r="E677" s="27" t="s">
        <v>123</v>
      </c>
      <c r="F677" t="s">
        <v>15</v>
      </c>
      <c r="G677" s="47"/>
      <c r="H677" s="102"/>
      <c r="I677" s="63"/>
      <c r="J677" t="str">
        <f>CONCATENATE(Tabla1[[#This Row],[OBRA]],"/",Tabla1[[#This Row],[CODIGO ENSAYO]])</f>
        <v>17-1/1-1</v>
      </c>
      <c r="K677" s="2" t="str">
        <f>UPPER(TEXT(Tabla1[[#This Row],[FECHA INF]],"MMMM"))</f>
        <v>ABRIL</v>
      </c>
      <c r="L67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0109-24</v>
      </c>
    </row>
    <row r="678" spans="1:12" hidden="1" x14ac:dyDescent="0.25">
      <c r="A678" s="52">
        <v>45412</v>
      </c>
      <c r="B678" s="27" t="s">
        <v>522</v>
      </c>
      <c r="C678" s="2" t="s">
        <v>1541</v>
      </c>
      <c r="D678" s="2">
        <v>2</v>
      </c>
      <c r="E678" s="27" t="s">
        <v>123</v>
      </c>
      <c r="F678" t="s">
        <v>15</v>
      </c>
      <c r="G678" s="47"/>
      <c r="H678" s="102"/>
      <c r="I678" s="63"/>
      <c r="J678" t="str">
        <f>CONCATENATE(Tabla1[[#This Row],[OBRA]],"/",Tabla1[[#This Row],[CODIGO ENSAYO]])</f>
        <v>17-1/1-1</v>
      </c>
      <c r="K678" s="2" t="str">
        <f>UPPER(TEXT(Tabla1[[#This Row],[FECHA INF]],"MMMM"))</f>
        <v>ABRIL</v>
      </c>
      <c r="L67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0113-24</v>
      </c>
    </row>
    <row r="679" spans="1:12" hidden="1" x14ac:dyDescent="0.25">
      <c r="A679" s="52">
        <v>45412</v>
      </c>
      <c r="B679" s="27" t="s">
        <v>522</v>
      </c>
      <c r="C679" s="2" t="s">
        <v>1542</v>
      </c>
      <c r="D679" s="2">
        <v>2</v>
      </c>
      <c r="E679" s="27" t="s">
        <v>123</v>
      </c>
      <c r="F679" t="s">
        <v>15</v>
      </c>
      <c r="G679" s="47"/>
      <c r="H679" s="102"/>
      <c r="I679" s="63"/>
      <c r="J679" t="str">
        <f>CONCATENATE(Tabla1[[#This Row],[OBRA]],"/",Tabla1[[#This Row],[CODIGO ENSAYO]])</f>
        <v>17-1/1-1</v>
      </c>
      <c r="K679" s="2" t="str">
        <f>UPPER(TEXT(Tabla1[[#This Row],[FECHA INF]],"MMMM"))</f>
        <v>ABRIL</v>
      </c>
      <c r="L67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0115-24</v>
      </c>
    </row>
    <row r="680" spans="1:12" hidden="1" x14ac:dyDescent="0.25">
      <c r="A680" s="52">
        <v>45412</v>
      </c>
      <c r="B680" s="27" t="s">
        <v>522</v>
      </c>
      <c r="C680" s="2" t="s">
        <v>1543</v>
      </c>
      <c r="D680" s="2">
        <v>2</v>
      </c>
      <c r="E680" s="27" t="s">
        <v>123</v>
      </c>
      <c r="F680" t="s">
        <v>15</v>
      </c>
      <c r="G680" s="47"/>
      <c r="H680" s="102"/>
      <c r="I680" s="63"/>
      <c r="J680" t="str">
        <f>CONCATENATE(Tabla1[[#This Row],[OBRA]],"/",Tabla1[[#This Row],[CODIGO ENSAYO]])</f>
        <v>17-1/1-1</v>
      </c>
      <c r="K680" s="2" t="str">
        <f>UPPER(TEXT(Tabla1[[#This Row],[FECHA INF]],"MMMM"))</f>
        <v>ABRIL</v>
      </c>
      <c r="L68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0117-24</v>
      </c>
    </row>
    <row r="681" spans="1:12" hidden="1" x14ac:dyDescent="0.25">
      <c r="A681" s="52">
        <v>45412</v>
      </c>
      <c r="B681" s="27" t="s">
        <v>522</v>
      </c>
      <c r="C681" s="2" t="s">
        <v>1544</v>
      </c>
      <c r="D681" s="2">
        <v>9</v>
      </c>
      <c r="E681" s="27" t="s">
        <v>123</v>
      </c>
      <c r="F681" t="s">
        <v>15</v>
      </c>
      <c r="G681" s="47"/>
      <c r="H681" s="102"/>
      <c r="I681" s="63"/>
      <c r="J681" t="str">
        <f>CONCATENATE(Tabla1[[#This Row],[OBRA]],"/",Tabla1[[#This Row],[CODIGO ENSAYO]])</f>
        <v>17-1/1-1</v>
      </c>
      <c r="K681" s="2" t="str">
        <f>UPPER(TEXT(Tabla1[[#This Row],[FECHA INF]],"MMMM"))</f>
        <v>ABRIL</v>
      </c>
      <c r="L68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0119-24</v>
      </c>
    </row>
    <row r="682" spans="1:12" hidden="1" x14ac:dyDescent="0.25">
      <c r="A682" s="52">
        <v>45412</v>
      </c>
      <c r="B682" s="27" t="s">
        <v>522</v>
      </c>
      <c r="C682" s="2" t="s">
        <v>1545</v>
      </c>
      <c r="D682" s="2">
        <v>4</v>
      </c>
      <c r="E682" s="27" t="s">
        <v>123</v>
      </c>
      <c r="F682" t="s">
        <v>15</v>
      </c>
      <c r="G682" s="47"/>
      <c r="H682" s="102"/>
      <c r="I682" s="63"/>
      <c r="J682" t="str">
        <f>CONCATENATE(Tabla1[[#This Row],[OBRA]],"/",Tabla1[[#This Row],[CODIGO ENSAYO]])</f>
        <v>17-1/1-1</v>
      </c>
      <c r="K682" s="2" t="str">
        <f>UPPER(TEXT(Tabla1[[#This Row],[FECHA INF]],"MMMM"))</f>
        <v>ABRIL</v>
      </c>
      <c r="L68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0121-24</v>
      </c>
    </row>
    <row r="683" spans="1:12" hidden="1" x14ac:dyDescent="0.25">
      <c r="A683" s="52">
        <v>45412</v>
      </c>
      <c r="B683" s="27" t="s">
        <v>522</v>
      </c>
      <c r="C683" s="2" t="s">
        <v>1546</v>
      </c>
      <c r="D683" s="2">
        <v>9</v>
      </c>
      <c r="E683" s="27" t="s">
        <v>123</v>
      </c>
      <c r="F683" t="s">
        <v>15</v>
      </c>
      <c r="G683" s="47"/>
      <c r="H683" s="102"/>
      <c r="I683" s="63"/>
      <c r="J683" t="str">
        <f>CONCATENATE(Tabla1[[#This Row],[OBRA]],"/",Tabla1[[#This Row],[CODIGO ENSAYO]])</f>
        <v>17-1/1-1</v>
      </c>
      <c r="K683" s="2" t="str">
        <f>UPPER(TEXT(Tabla1[[#This Row],[FECHA INF]],"MMMM"))</f>
        <v>ABRIL</v>
      </c>
      <c r="L68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0123-24</v>
      </c>
    </row>
    <row r="684" spans="1:12" hidden="1" x14ac:dyDescent="0.25">
      <c r="A684" s="52">
        <v>45412</v>
      </c>
      <c r="B684" s="27" t="s">
        <v>148</v>
      </c>
      <c r="C684" s="2" t="s">
        <v>1532</v>
      </c>
      <c r="D684" s="2">
        <v>1</v>
      </c>
      <c r="E684" s="27" t="s">
        <v>123</v>
      </c>
      <c r="F684" t="s">
        <v>15</v>
      </c>
      <c r="G684" s="47"/>
      <c r="H684" s="102"/>
      <c r="I684" s="63"/>
      <c r="J684" t="str">
        <f>CONCATENATE(Tabla1[[#This Row],[OBRA]],"/",Tabla1[[#This Row],[CODIGO ENSAYO]])</f>
        <v>3-1/1-1</v>
      </c>
      <c r="K684" s="2" t="str">
        <f>UPPER(TEXT(Tabla1[[#This Row],[FECHA INF]],"MMMM"))</f>
        <v>ABRIL</v>
      </c>
      <c r="L68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0125-24</v>
      </c>
    </row>
    <row r="685" spans="1:12" hidden="1" x14ac:dyDescent="0.25">
      <c r="A685" s="52">
        <v>45412</v>
      </c>
      <c r="B685" s="27" t="s">
        <v>148</v>
      </c>
      <c r="C685" s="2" t="s">
        <v>1533</v>
      </c>
      <c r="D685" s="2">
        <v>3</v>
      </c>
      <c r="E685" s="27" t="s">
        <v>123</v>
      </c>
      <c r="F685" t="s">
        <v>15</v>
      </c>
      <c r="G685" s="47"/>
      <c r="H685" s="102"/>
      <c r="I685" s="63"/>
      <c r="J685" t="str">
        <f>CONCATENATE(Tabla1[[#This Row],[OBRA]],"/",Tabla1[[#This Row],[CODIGO ENSAYO]])</f>
        <v>3-1/1-1</v>
      </c>
      <c r="K685" s="2" t="str">
        <f>UPPER(TEXT(Tabla1[[#This Row],[FECHA INF]],"MMMM"))</f>
        <v>ABRIL</v>
      </c>
      <c r="L68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0127-24</v>
      </c>
    </row>
    <row r="686" spans="1:12" hidden="1" x14ac:dyDescent="0.25">
      <c r="A686" s="52">
        <v>45412</v>
      </c>
      <c r="B686" s="27" t="s">
        <v>522</v>
      </c>
      <c r="C686" s="2" t="s">
        <v>1547</v>
      </c>
      <c r="D686" s="2">
        <v>4</v>
      </c>
      <c r="E686" s="27" t="s">
        <v>123</v>
      </c>
      <c r="F686" t="s">
        <v>15</v>
      </c>
      <c r="G686" s="47"/>
      <c r="H686" s="102"/>
      <c r="I686" s="63"/>
      <c r="J686" t="str">
        <f>CONCATENATE(Tabla1[[#This Row],[OBRA]],"/",Tabla1[[#This Row],[CODIGO ENSAYO]])</f>
        <v>17-1/1-1</v>
      </c>
      <c r="K686" s="2" t="str">
        <f>UPPER(TEXT(Tabla1[[#This Row],[FECHA INF]],"MMMM"))</f>
        <v>ABRIL</v>
      </c>
      <c r="L68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0129-24</v>
      </c>
    </row>
    <row r="687" spans="1:12" hidden="1" x14ac:dyDescent="0.25">
      <c r="A687" s="52">
        <v>45412</v>
      </c>
      <c r="B687" s="27" t="s">
        <v>148</v>
      </c>
      <c r="C687" s="2" t="s">
        <v>1534</v>
      </c>
      <c r="D687" s="2">
        <v>1</v>
      </c>
      <c r="E687" s="27" t="s">
        <v>123</v>
      </c>
      <c r="F687" t="s">
        <v>15</v>
      </c>
      <c r="G687" s="47"/>
      <c r="H687" s="102"/>
      <c r="I687" s="63"/>
      <c r="J687" t="str">
        <f>CONCATENATE(Tabla1[[#This Row],[OBRA]],"/",Tabla1[[#This Row],[CODIGO ENSAYO]])</f>
        <v>3-1/1-1</v>
      </c>
      <c r="K687" s="2" t="str">
        <f>UPPER(TEXT(Tabla1[[#This Row],[FECHA INF]],"MMMM"))</f>
        <v>ABRIL</v>
      </c>
      <c r="L68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0130-24</v>
      </c>
    </row>
    <row r="688" spans="1:12" hidden="1" x14ac:dyDescent="0.25">
      <c r="A688" s="52">
        <v>45412</v>
      </c>
      <c r="B688" s="27" t="s">
        <v>522</v>
      </c>
      <c r="C688" s="2" t="s">
        <v>1548</v>
      </c>
      <c r="D688" s="2">
        <v>2</v>
      </c>
      <c r="E688" s="27" t="s">
        <v>123</v>
      </c>
      <c r="F688" t="s">
        <v>15</v>
      </c>
      <c r="G688" s="47"/>
      <c r="H688" s="102"/>
      <c r="I688" s="63"/>
      <c r="J688" t="str">
        <f>CONCATENATE(Tabla1[[#This Row],[OBRA]],"/",Tabla1[[#This Row],[CODIGO ENSAYO]])</f>
        <v>17-1/1-1</v>
      </c>
      <c r="K688" s="2" t="str">
        <f>UPPER(TEXT(Tabla1[[#This Row],[FECHA INF]],"MMMM"))</f>
        <v>ABRIL</v>
      </c>
      <c r="L68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0132-24</v>
      </c>
    </row>
    <row r="689" spans="1:12" hidden="1" x14ac:dyDescent="0.25">
      <c r="A689" s="52">
        <v>45412</v>
      </c>
      <c r="B689" s="27" t="s">
        <v>148</v>
      </c>
      <c r="C689" s="2" t="s">
        <v>1535</v>
      </c>
      <c r="D689" s="2">
        <v>1</v>
      </c>
      <c r="E689" s="27" t="s">
        <v>123</v>
      </c>
      <c r="F689" t="s">
        <v>15</v>
      </c>
      <c r="G689" s="47"/>
      <c r="H689" s="102"/>
      <c r="I689" s="63"/>
      <c r="J689" t="str">
        <f>CONCATENATE(Tabla1[[#This Row],[OBRA]],"/",Tabla1[[#This Row],[CODIGO ENSAYO]])</f>
        <v>3-1/1-1</v>
      </c>
      <c r="K689" s="2" t="str">
        <f>UPPER(TEXT(Tabla1[[#This Row],[FECHA INF]],"MMMM"))</f>
        <v>ABRIL</v>
      </c>
      <c r="L68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0133-24</v>
      </c>
    </row>
    <row r="690" spans="1:12" hidden="1" x14ac:dyDescent="0.25">
      <c r="A690" s="52">
        <v>45412</v>
      </c>
      <c r="B690" s="27" t="s">
        <v>522</v>
      </c>
      <c r="C690" s="2" t="s">
        <v>1549</v>
      </c>
      <c r="D690" s="2">
        <v>9</v>
      </c>
      <c r="E690" s="27" t="s">
        <v>123</v>
      </c>
      <c r="F690" t="s">
        <v>15</v>
      </c>
      <c r="G690" s="47"/>
      <c r="H690" s="102"/>
      <c r="I690" s="63"/>
      <c r="J690" t="str">
        <f>CONCATENATE(Tabla1[[#This Row],[OBRA]],"/",Tabla1[[#This Row],[CODIGO ENSAYO]])</f>
        <v>17-1/1-1</v>
      </c>
      <c r="K690" s="2" t="str">
        <f>UPPER(TEXT(Tabla1[[#This Row],[FECHA INF]],"MMMM"))</f>
        <v>ABRIL</v>
      </c>
      <c r="L69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0136-24</v>
      </c>
    </row>
    <row r="691" spans="1:12" hidden="1" x14ac:dyDescent="0.25">
      <c r="A691" s="52">
        <v>45412</v>
      </c>
      <c r="B691" s="27" t="s">
        <v>522</v>
      </c>
      <c r="C691" s="2" t="s">
        <v>1550</v>
      </c>
      <c r="D691" s="2">
        <v>4</v>
      </c>
      <c r="E691" s="27" t="s">
        <v>123</v>
      </c>
      <c r="F691" t="s">
        <v>15</v>
      </c>
      <c r="G691" s="47"/>
      <c r="H691" s="102"/>
      <c r="I691" s="63"/>
      <c r="J691" t="str">
        <f>CONCATENATE(Tabla1[[#This Row],[OBRA]],"/",Tabla1[[#This Row],[CODIGO ENSAYO]])</f>
        <v>17-1/1-1</v>
      </c>
      <c r="K691" s="2" t="str">
        <f>UPPER(TEXT(Tabla1[[#This Row],[FECHA INF]],"MMMM"))</f>
        <v>ABRIL</v>
      </c>
      <c r="L69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0137-24</v>
      </c>
    </row>
    <row r="692" spans="1:12" hidden="1" x14ac:dyDescent="0.25">
      <c r="A692" s="52">
        <v>45412</v>
      </c>
      <c r="B692" s="27" t="s">
        <v>148</v>
      </c>
      <c r="C692" s="2" t="s">
        <v>1536</v>
      </c>
      <c r="D692" s="2">
        <v>4</v>
      </c>
      <c r="E692" s="27" t="s">
        <v>123</v>
      </c>
      <c r="F692" t="s">
        <v>15</v>
      </c>
      <c r="G692" s="47"/>
      <c r="H692" s="102"/>
      <c r="I692" s="63"/>
      <c r="J692" t="str">
        <f>CONCATENATE(Tabla1[[#This Row],[OBRA]],"/",Tabla1[[#This Row],[CODIGO ENSAYO]])</f>
        <v>3-1/1-1</v>
      </c>
      <c r="K692" s="2" t="str">
        <f>UPPER(TEXT(Tabla1[[#This Row],[FECHA INF]],"MMMM"))</f>
        <v>ABRIL</v>
      </c>
      <c r="L69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0138-24</v>
      </c>
    </row>
    <row r="693" spans="1:12" hidden="1" x14ac:dyDescent="0.25">
      <c r="A693" s="52">
        <v>45412</v>
      </c>
      <c r="B693" s="27" t="s">
        <v>522</v>
      </c>
      <c r="C693" s="2" t="s">
        <v>1551</v>
      </c>
      <c r="D693" s="2">
        <v>7</v>
      </c>
      <c r="E693" s="27" t="s">
        <v>123</v>
      </c>
      <c r="F693" t="s">
        <v>15</v>
      </c>
      <c r="G693" s="47"/>
      <c r="H693" s="102"/>
      <c r="I693" s="63"/>
      <c r="J693" t="str">
        <f>CONCATENATE(Tabla1[[#This Row],[OBRA]],"/",Tabla1[[#This Row],[CODIGO ENSAYO]])</f>
        <v>17-1/1-1</v>
      </c>
      <c r="K693" s="2" t="str">
        <f>UPPER(TEXT(Tabla1[[#This Row],[FECHA INF]],"MMMM"))</f>
        <v>ABRIL</v>
      </c>
      <c r="L69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0140-24</v>
      </c>
    </row>
    <row r="694" spans="1:12" hidden="1" x14ac:dyDescent="0.25">
      <c r="A694" s="52">
        <v>45412</v>
      </c>
      <c r="B694" s="27" t="s">
        <v>522</v>
      </c>
      <c r="C694" s="2" t="s">
        <v>1552</v>
      </c>
      <c r="D694" s="2">
        <v>2</v>
      </c>
      <c r="E694" s="27" t="s">
        <v>123</v>
      </c>
      <c r="F694" t="s">
        <v>15</v>
      </c>
      <c r="G694" s="47"/>
      <c r="H694" s="102"/>
      <c r="I694" s="63"/>
      <c r="J694" t="str">
        <f>CONCATENATE(Tabla1[[#This Row],[OBRA]],"/",Tabla1[[#This Row],[CODIGO ENSAYO]])</f>
        <v>17-1/1-1</v>
      </c>
      <c r="K694" s="2" t="str">
        <f>UPPER(TEXT(Tabla1[[#This Row],[FECHA INF]],"MMMM"))</f>
        <v>ABRIL</v>
      </c>
      <c r="L69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0143-24</v>
      </c>
    </row>
    <row r="695" spans="1:12" hidden="1" x14ac:dyDescent="0.25">
      <c r="A695" s="52">
        <v>45412</v>
      </c>
      <c r="B695" s="27" t="s">
        <v>148</v>
      </c>
      <c r="C695" s="2" t="s">
        <v>1537</v>
      </c>
      <c r="D695" s="2">
        <v>1</v>
      </c>
      <c r="E695" s="27" t="s">
        <v>123</v>
      </c>
      <c r="F695" t="s">
        <v>15</v>
      </c>
      <c r="G695" s="47"/>
      <c r="H695" s="102"/>
      <c r="I695" s="63"/>
      <c r="J695" t="str">
        <f>CONCATENATE(Tabla1[[#This Row],[OBRA]],"/",Tabla1[[#This Row],[CODIGO ENSAYO]])</f>
        <v>3-1/1-1</v>
      </c>
      <c r="K695" s="2" t="str">
        <f>UPPER(TEXT(Tabla1[[#This Row],[FECHA INF]],"MMMM"))</f>
        <v>ABRIL</v>
      </c>
      <c r="L69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0144-24</v>
      </c>
    </row>
    <row r="696" spans="1:12" hidden="1" x14ac:dyDescent="0.25">
      <c r="A696" s="52">
        <v>45412</v>
      </c>
      <c r="B696" s="27" t="s">
        <v>522</v>
      </c>
      <c r="C696" s="2" t="s">
        <v>1553</v>
      </c>
      <c r="D696" s="2">
        <v>4</v>
      </c>
      <c r="E696" s="27" t="s">
        <v>123</v>
      </c>
      <c r="F696" t="s">
        <v>15</v>
      </c>
      <c r="G696" s="47"/>
      <c r="H696" s="102"/>
      <c r="I696" s="63"/>
      <c r="J696" t="str">
        <f>CONCATENATE(Tabla1[[#This Row],[OBRA]],"/",Tabla1[[#This Row],[CODIGO ENSAYO]])</f>
        <v>17-1/1-1</v>
      </c>
      <c r="K696" s="2" t="str">
        <f>UPPER(TEXT(Tabla1[[#This Row],[FECHA INF]],"MMMM"))</f>
        <v>ABRIL</v>
      </c>
      <c r="L69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0146-24</v>
      </c>
    </row>
    <row r="697" spans="1:12" hidden="1" x14ac:dyDescent="0.25">
      <c r="A697" s="52">
        <v>45412</v>
      </c>
      <c r="B697" s="27" t="s">
        <v>148</v>
      </c>
      <c r="C697" s="2" t="s">
        <v>1538</v>
      </c>
      <c r="D697" s="2">
        <v>1</v>
      </c>
      <c r="E697" s="27" t="s">
        <v>123</v>
      </c>
      <c r="F697" t="s">
        <v>15</v>
      </c>
      <c r="G697" s="47"/>
      <c r="H697" s="102"/>
      <c r="I697" s="63"/>
      <c r="J697" t="str">
        <f>CONCATENATE(Tabla1[[#This Row],[OBRA]],"/",Tabla1[[#This Row],[CODIGO ENSAYO]])</f>
        <v>3-1/1-1</v>
      </c>
      <c r="K697" s="2" t="str">
        <f>UPPER(TEXT(Tabla1[[#This Row],[FECHA INF]],"MMMM"))</f>
        <v>ABRIL</v>
      </c>
      <c r="L69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0147-24</v>
      </c>
    </row>
    <row r="698" spans="1:12" hidden="1" x14ac:dyDescent="0.25">
      <c r="A698" s="52">
        <v>45412</v>
      </c>
      <c r="B698" s="27" t="s">
        <v>522</v>
      </c>
      <c r="C698" s="2" t="s">
        <v>1554</v>
      </c>
      <c r="D698" s="2">
        <v>12</v>
      </c>
      <c r="E698" s="27" t="s">
        <v>123</v>
      </c>
      <c r="F698" t="s">
        <v>15</v>
      </c>
      <c r="G698" s="47"/>
      <c r="H698" s="102"/>
      <c r="I698" s="63"/>
      <c r="J698" t="str">
        <f>CONCATENATE(Tabla1[[#This Row],[OBRA]],"/",Tabla1[[#This Row],[CODIGO ENSAYO]])</f>
        <v>17-1/1-1</v>
      </c>
      <c r="K698" s="2" t="str">
        <f>UPPER(TEXT(Tabla1[[#This Row],[FECHA INF]],"MMMM"))</f>
        <v>ABRIL</v>
      </c>
      <c r="L69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0149-24</v>
      </c>
    </row>
    <row r="699" spans="1:12" hidden="1" x14ac:dyDescent="0.25">
      <c r="A699" s="52">
        <v>45412</v>
      </c>
      <c r="B699" s="27" t="s">
        <v>522</v>
      </c>
      <c r="C699" s="2" t="s">
        <v>1555</v>
      </c>
      <c r="D699" s="2">
        <v>3</v>
      </c>
      <c r="E699" s="27" t="s">
        <v>123</v>
      </c>
      <c r="F699" t="s">
        <v>15</v>
      </c>
      <c r="G699" s="47"/>
      <c r="H699" s="102"/>
      <c r="I699" s="63"/>
      <c r="J699" t="str">
        <f>CONCATENATE(Tabla1[[#This Row],[OBRA]],"/",Tabla1[[#This Row],[CODIGO ENSAYO]])</f>
        <v>17-1/1-1</v>
      </c>
      <c r="K699" s="2" t="str">
        <f>UPPER(TEXT(Tabla1[[#This Row],[FECHA INF]],"MMMM"))</f>
        <v>ABRIL</v>
      </c>
      <c r="L69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0150-24</v>
      </c>
    </row>
    <row r="700" spans="1:12" hidden="1" x14ac:dyDescent="0.25">
      <c r="A700" s="52">
        <v>45443</v>
      </c>
      <c r="B700" s="27" t="s">
        <v>522</v>
      </c>
      <c r="C700" s="2" t="s">
        <v>1602</v>
      </c>
      <c r="D700" s="2">
        <v>3</v>
      </c>
      <c r="E700" s="27" t="s">
        <v>175</v>
      </c>
      <c r="F700" t="s">
        <v>390</v>
      </c>
      <c r="G700" s="47"/>
      <c r="H700" s="102"/>
      <c r="I700" s="63"/>
      <c r="J700" t="str">
        <f>CONCATENATE(Tabla1[[#This Row],[OBRA]],"/",Tabla1[[#This Row],[CODIGO ENSAYO]])</f>
        <v>17-1/7-1</v>
      </c>
      <c r="K700" s="2" t="str">
        <f>UPPER(TEXT(Tabla1[[#This Row],[FECHA INF]],"MMMM"))</f>
        <v>MAYO</v>
      </c>
      <c r="L70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(Transporte del 06-14-21 de Mayo de 2024)</v>
      </c>
    </row>
    <row r="701" spans="1:12" hidden="1" x14ac:dyDescent="0.25">
      <c r="A701" s="52">
        <v>45443</v>
      </c>
      <c r="B701" s="27" t="s">
        <v>522</v>
      </c>
      <c r="C701" s="2" t="s">
        <v>1587</v>
      </c>
      <c r="D701" s="2">
        <v>3</v>
      </c>
      <c r="E701" s="27" t="s">
        <v>123</v>
      </c>
      <c r="F701" t="s">
        <v>15</v>
      </c>
      <c r="G701" s="47"/>
      <c r="H701" s="102"/>
      <c r="I701" s="63"/>
      <c r="J701" t="str">
        <f>CONCATENATE(Tabla1[[#This Row],[OBRA]],"/",Tabla1[[#This Row],[CODIGO ENSAYO]])</f>
        <v>17-1/1-1</v>
      </c>
      <c r="K701" s="2" t="str">
        <f>UPPER(TEXT(Tabla1[[#This Row],[FECHA INF]],"MMMM"))</f>
        <v>MAYO</v>
      </c>
      <c r="L70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0151-24</v>
      </c>
    </row>
    <row r="702" spans="1:12" hidden="1" x14ac:dyDescent="0.25">
      <c r="A702" s="52">
        <v>45443</v>
      </c>
      <c r="B702" s="27" t="s">
        <v>148</v>
      </c>
      <c r="C702" s="2" t="s">
        <v>1578</v>
      </c>
      <c r="D702" s="2">
        <v>3</v>
      </c>
      <c r="E702" s="27" t="s">
        <v>123</v>
      </c>
      <c r="F702" t="s">
        <v>15</v>
      </c>
      <c r="G702" s="47"/>
      <c r="H702" s="102"/>
      <c r="I702" s="63"/>
      <c r="J702" t="str">
        <f>CONCATENATE(Tabla1[[#This Row],[OBRA]],"/",Tabla1[[#This Row],[CODIGO ENSAYO]])</f>
        <v>3-1/1-1</v>
      </c>
      <c r="K702" s="2" t="str">
        <f>UPPER(TEXT(Tabla1[[#This Row],[FECHA INF]],"MMMM"))</f>
        <v>MAYO</v>
      </c>
      <c r="L70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0152-24</v>
      </c>
    </row>
    <row r="703" spans="1:12" hidden="1" x14ac:dyDescent="0.25">
      <c r="A703" s="52">
        <v>45443</v>
      </c>
      <c r="B703" s="27" t="s">
        <v>148</v>
      </c>
      <c r="C703" s="2" t="s">
        <v>1557</v>
      </c>
      <c r="D703" s="2">
        <v>1</v>
      </c>
      <c r="E703" s="27" t="s">
        <v>712</v>
      </c>
      <c r="F703" t="s">
        <v>713</v>
      </c>
      <c r="G703" s="47"/>
      <c r="H703" s="102"/>
      <c r="I703" s="63"/>
      <c r="J703" t="str">
        <f>CONCATENATE(Tabla1[[#This Row],[OBRA]],"/",Tabla1[[#This Row],[CODIGO ENSAYO]])</f>
        <v>3-1/5-9</v>
      </c>
      <c r="K703" s="2" t="str">
        <f>UPPER(TEXT(Tabla1[[#This Row],[FECHA INF]],"MMMM"))</f>
        <v>MAYO</v>
      </c>
      <c r="L70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0154-24</v>
      </c>
    </row>
    <row r="704" spans="1:12" hidden="1" x14ac:dyDescent="0.25">
      <c r="A704" s="52">
        <v>45443</v>
      </c>
      <c r="B704" s="27" t="s">
        <v>148</v>
      </c>
      <c r="C704" s="2" t="s">
        <v>1558</v>
      </c>
      <c r="D704" s="2">
        <v>1</v>
      </c>
      <c r="E704" s="27" t="s">
        <v>712</v>
      </c>
      <c r="F704" t="s">
        <v>713</v>
      </c>
      <c r="G704" s="47"/>
      <c r="H704" s="102"/>
      <c r="I704" s="63"/>
      <c r="J704" t="str">
        <f>CONCATENATE(Tabla1[[#This Row],[OBRA]],"/",Tabla1[[#This Row],[CODIGO ENSAYO]])</f>
        <v>3-1/5-9</v>
      </c>
      <c r="K704" s="2" t="str">
        <f>UPPER(TEXT(Tabla1[[#This Row],[FECHA INF]],"MMMM"))</f>
        <v>MAYO</v>
      </c>
      <c r="L70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0155-24</v>
      </c>
    </row>
    <row r="705" spans="1:12" hidden="1" x14ac:dyDescent="0.25">
      <c r="A705" s="52">
        <v>45443</v>
      </c>
      <c r="B705" s="27" t="s">
        <v>148</v>
      </c>
      <c r="C705" s="2" t="s">
        <v>1559</v>
      </c>
      <c r="D705" s="2">
        <v>1</v>
      </c>
      <c r="E705" s="27" t="s">
        <v>712</v>
      </c>
      <c r="F705" t="s">
        <v>713</v>
      </c>
      <c r="G705" s="47"/>
      <c r="H705" s="102"/>
      <c r="I705" s="63"/>
      <c r="J705" t="str">
        <f>CONCATENATE(Tabla1[[#This Row],[OBRA]],"/",Tabla1[[#This Row],[CODIGO ENSAYO]])</f>
        <v>3-1/5-9</v>
      </c>
      <c r="K705" s="2" t="str">
        <f>UPPER(TEXT(Tabla1[[#This Row],[FECHA INF]],"MMMM"))</f>
        <v>MAYO</v>
      </c>
      <c r="L70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0156-24</v>
      </c>
    </row>
    <row r="706" spans="1:12" hidden="1" x14ac:dyDescent="0.25">
      <c r="A706" s="52">
        <v>45443</v>
      </c>
      <c r="B706" s="27" t="s">
        <v>148</v>
      </c>
      <c r="C706" s="2" t="s">
        <v>1560</v>
      </c>
      <c r="D706" s="2">
        <v>1</v>
      </c>
      <c r="E706" s="27" t="s">
        <v>712</v>
      </c>
      <c r="F706" t="s">
        <v>713</v>
      </c>
      <c r="G706" s="47"/>
      <c r="H706" s="102"/>
      <c r="I706" s="63"/>
      <c r="J706" t="str">
        <f>CONCATENATE(Tabla1[[#This Row],[OBRA]],"/",Tabla1[[#This Row],[CODIGO ENSAYO]])</f>
        <v>3-1/5-9</v>
      </c>
      <c r="K706" s="2" t="str">
        <f>UPPER(TEXT(Tabla1[[#This Row],[FECHA INF]],"MMMM"))</f>
        <v>MAYO</v>
      </c>
      <c r="L70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0157-24</v>
      </c>
    </row>
    <row r="707" spans="1:12" hidden="1" x14ac:dyDescent="0.25">
      <c r="A707" s="52">
        <v>45443</v>
      </c>
      <c r="B707" s="27" t="s">
        <v>148</v>
      </c>
      <c r="C707" s="2" t="s">
        <v>1561</v>
      </c>
      <c r="D707" s="2">
        <v>1</v>
      </c>
      <c r="E707" s="27" t="s">
        <v>712</v>
      </c>
      <c r="F707" t="s">
        <v>713</v>
      </c>
      <c r="G707" s="47"/>
      <c r="H707" s="102"/>
      <c r="I707" s="63"/>
      <c r="J707" t="str">
        <f>CONCATENATE(Tabla1[[#This Row],[OBRA]],"/",Tabla1[[#This Row],[CODIGO ENSAYO]])</f>
        <v>3-1/5-9</v>
      </c>
      <c r="K707" s="2" t="str">
        <f>UPPER(TEXT(Tabla1[[#This Row],[FECHA INF]],"MMMM"))</f>
        <v>MAYO</v>
      </c>
      <c r="L70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0158-24</v>
      </c>
    </row>
    <row r="708" spans="1:12" hidden="1" x14ac:dyDescent="0.25">
      <c r="A708" s="52">
        <v>45443</v>
      </c>
      <c r="B708" s="27" t="s">
        <v>148</v>
      </c>
      <c r="C708" s="2" t="s">
        <v>1579</v>
      </c>
      <c r="D708" s="2">
        <v>2</v>
      </c>
      <c r="E708" s="27" t="s">
        <v>123</v>
      </c>
      <c r="F708" t="s">
        <v>15</v>
      </c>
      <c r="G708" s="47"/>
      <c r="H708" s="102"/>
      <c r="I708" s="63"/>
      <c r="J708" t="str">
        <f>CONCATENATE(Tabla1[[#This Row],[OBRA]],"/",Tabla1[[#This Row],[CODIGO ENSAYO]])</f>
        <v>3-1/1-1</v>
      </c>
      <c r="K708" s="2" t="str">
        <f>UPPER(TEXT(Tabla1[[#This Row],[FECHA INF]],"MMMM"))</f>
        <v>MAYO</v>
      </c>
      <c r="L70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0159-24</v>
      </c>
    </row>
    <row r="709" spans="1:12" hidden="1" x14ac:dyDescent="0.25">
      <c r="A709" s="52">
        <v>45443</v>
      </c>
      <c r="B709" s="27" t="s">
        <v>522</v>
      </c>
      <c r="C709" s="2" t="s">
        <v>1588</v>
      </c>
      <c r="D709" s="2">
        <v>8</v>
      </c>
      <c r="E709" s="27" t="s">
        <v>123</v>
      </c>
      <c r="F709" t="s">
        <v>15</v>
      </c>
      <c r="G709" s="47"/>
      <c r="H709" s="102"/>
      <c r="I709" s="63"/>
      <c r="J709" t="str">
        <f>CONCATENATE(Tabla1[[#This Row],[OBRA]],"/",Tabla1[[#This Row],[CODIGO ENSAYO]])</f>
        <v>17-1/1-1</v>
      </c>
      <c r="K709" s="2" t="str">
        <f>UPPER(TEXT(Tabla1[[#This Row],[FECHA INF]],"MMMM"))</f>
        <v>MAYO</v>
      </c>
      <c r="L70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0160-24</v>
      </c>
    </row>
    <row r="710" spans="1:12" hidden="1" x14ac:dyDescent="0.25">
      <c r="A710" s="52">
        <v>45443</v>
      </c>
      <c r="B710" s="27" t="s">
        <v>148</v>
      </c>
      <c r="C710" s="2" t="s">
        <v>1562</v>
      </c>
      <c r="D710" s="2">
        <v>1</v>
      </c>
      <c r="E710" s="27" t="s">
        <v>712</v>
      </c>
      <c r="F710" t="s">
        <v>713</v>
      </c>
      <c r="G710" s="47"/>
      <c r="H710" s="102"/>
      <c r="I710" s="63"/>
      <c r="J710" t="str">
        <f>CONCATENATE(Tabla1[[#This Row],[OBRA]],"/",Tabla1[[#This Row],[CODIGO ENSAYO]])</f>
        <v>3-1/5-9</v>
      </c>
      <c r="K710" s="2" t="str">
        <f>UPPER(TEXT(Tabla1[[#This Row],[FECHA INF]],"MMMM"))</f>
        <v>MAYO</v>
      </c>
      <c r="L71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0161-24</v>
      </c>
    </row>
    <row r="711" spans="1:12" hidden="1" x14ac:dyDescent="0.25">
      <c r="A711" s="52">
        <v>45443</v>
      </c>
      <c r="B711" s="27" t="s">
        <v>522</v>
      </c>
      <c r="C711" s="2" t="s">
        <v>1589</v>
      </c>
      <c r="D711" s="2">
        <v>8</v>
      </c>
      <c r="E711" s="27" t="s">
        <v>123</v>
      </c>
      <c r="F711" t="s">
        <v>15</v>
      </c>
      <c r="G711" s="47"/>
      <c r="H711" s="102"/>
      <c r="I711" s="63"/>
      <c r="J711" t="str">
        <f>CONCATENATE(Tabla1[[#This Row],[OBRA]],"/",Tabla1[[#This Row],[CODIGO ENSAYO]])</f>
        <v>17-1/1-1</v>
      </c>
      <c r="K711" s="2" t="str">
        <f>UPPER(TEXT(Tabla1[[#This Row],[FECHA INF]],"MMMM"))</f>
        <v>MAYO</v>
      </c>
      <c r="L7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0163-24</v>
      </c>
    </row>
    <row r="712" spans="1:12" hidden="1" x14ac:dyDescent="0.25">
      <c r="A712" s="52">
        <v>45443</v>
      </c>
      <c r="B712" s="27" t="s">
        <v>148</v>
      </c>
      <c r="C712" s="2" t="s">
        <v>1580</v>
      </c>
      <c r="D712" s="2">
        <v>1</v>
      </c>
      <c r="E712" s="27" t="s">
        <v>123</v>
      </c>
      <c r="F712" t="s">
        <v>15</v>
      </c>
      <c r="G712" s="47"/>
      <c r="H712" s="102"/>
      <c r="I712" s="63"/>
      <c r="J712" t="str">
        <f>CONCATENATE(Tabla1[[#This Row],[OBRA]],"/",Tabla1[[#This Row],[CODIGO ENSAYO]])</f>
        <v>3-1/1-1</v>
      </c>
      <c r="K712" s="2" t="str">
        <f>UPPER(TEXT(Tabla1[[#This Row],[FECHA INF]],"MMMM"))</f>
        <v>MAYO</v>
      </c>
      <c r="L71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0164-24</v>
      </c>
    </row>
    <row r="713" spans="1:12" hidden="1" x14ac:dyDescent="0.25">
      <c r="A713" s="52">
        <v>45443</v>
      </c>
      <c r="B713" s="27" t="s">
        <v>148</v>
      </c>
      <c r="C713" s="2" t="s">
        <v>1573</v>
      </c>
      <c r="D713" s="2">
        <v>1</v>
      </c>
      <c r="E713" s="27" t="s">
        <v>139</v>
      </c>
      <c r="F713" t="s">
        <v>468</v>
      </c>
      <c r="G713" s="47"/>
      <c r="H713" s="102"/>
      <c r="I713" s="63"/>
      <c r="J713" t="str">
        <f>CONCATENATE(Tabla1[[#This Row],[OBRA]],"/",Tabla1[[#This Row],[CODIGO ENSAYO]])</f>
        <v>3-1/2-3</v>
      </c>
      <c r="K713" s="2" t="str">
        <f>UPPER(TEXT(Tabla1[[#This Row],[FECHA INF]],"MMMM"))</f>
        <v>MAYO</v>
      </c>
      <c r="L71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0165-24</v>
      </c>
    </row>
    <row r="714" spans="1:12" hidden="1" x14ac:dyDescent="0.25">
      <c r="A714" s="52">
        <v>45443</v>
      </c>
      <c r="B714" s="27" t="s">
        <v>148</v>
      </c>
      <c r="C714" s="2" t="s">
        <v>1574</v>
      </c>
      <c r="D714" s="2">
        <v>1</v>
      </c>
      <c r="E714" s="27" t="s">
        <v>166</v>
      </c>
      <c r="F714" t="s">
        <v>44</v>
      </c>
      <c r="G714" s="47"/>
      <c r="H714" s="102"/>
      <c r="I714" s="63"/>
      <c r="J714" t="str">
        <f>CONCATENATE(Tabla1[[#This Row],[OBRA]],"/",Tabla1[[#This Row],[CODIGO ENSAYO]])</f>
        <v>3-1/4-12</v>
      </c>
      <c r="K714" s="2" t="str">
        <f>UPPER(TEXT(Tabla1[[#This Row],[FECHA INF]],"MMMM"))</f>
        <v>MAYO</v>
      </c>
      <c r="L71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0166-24</v>
      </c>
    </row>
    <row r="715" spans="1:12" hidden="1" x14ac:dyDescent="0.25">
      <c r="A715" s="52">
        <v>45443</v>
      </c>
      <c r="B715" s="27" t="s">
        <v>148</v>
      </c>
      <c r="C715" s="2" t="s">
        <v>1575</v>
      </c>
      <c r="D715" s="2">
        <v>1</v>
      </c>
      <c r="E715" s="27" t="s">
        <v>158</v>
      </c>
      <c r="F715" t="s">
        <v>38</v>
      </c>
      <c r="G715" s="47"/>
      <c r="H715" s="102"/>
      <c r="I715" s="63"/>
      <c r="J715" t="str">
        <f>CONCATENATE(Tabla1[[#This Row],[OBRA]],"/",Tabla1[[#This Row],[CODIGO ENSAYO]])</f>
        <v>3-1/4-3</v>
      </c>
      <c r="K715" s="2" t="str">
        <f>UPPER(TEXT(Tabla1[[#This Row],[FECHA INF]],"MMMM"))</f>
        <v>MAYO</v>
      </c>
      <c r="L71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0167-24</v>
      </c>
    </row>
    <row r="716" spans="1:12" hidden="1" x14ac:dyDescent="0.25">
      <c r="A716" s="52">
        <v>45443</v>
      </c>
      <c r="B716" s="27" t="s">
        <v>148</v>
      </c>
      <c r="C716" s="2" t="s">
        <v>1576</v>
      </c>
      <c r="D716" s="2">
        <v>1</v>
      </c>
      <c r="E716" s="27" t="s">
        <v>162</v>
      </c>
      <c r="F716" t="s">
        <v>41</v>
      </c>
      <c r="G716" s="47"/>
      <c r="H716" s="102"/>
      <c r="I716" s="63"/>
      <c r="J716" t="str">
        <f>CONCATENATE(Tabla1[[#This Row],[OBRA]],"/",Tabla1[[#This Row],[CODIGO ENSAYO]])</f>
        <v>3-1/4-8</v>
      </c>
      <c r="K716" s="2" t="str">
        <f>UPPER(TEXT(Tabla1[[#This Row],[FECHA INF]],"MMMM"))</f>
        <v>MAYO</v>
      </c>
      <c r="L71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0168-24</v>
      </c>
    </row>
    <row r="717" spans="1:12" hidden="1" x14ac:dyDescent="0.25">
      <c r="A717" s="52">
        <v>45443</v>
      </c>
      <c r="B717" s="27" t="s">
        <v>148</v>
      </c>
      <c r="C717" s="2" t="s">
        <v>1577</v>
      </c>
      <c r="D717" s="2">
        <v>1</v>
      </c>
      <c r="E717" s="27" t="s">
        <v>162</v>
      </c>
      <c r="F717" t="s">
        <v>41</v>
      </c>
      <c r="G717" s="47"/>
      <c r="H717" s="102"/>
      <c r="I717" s="63"/>
      <c r="J717" t="str">
        <f>CONCATENATE(Tabla1[[#This Row],[OBRA]],"/",Tabla1[[#This Row],[CODIGO ENSAYO]])</f>
        <v>3-1/4-8</v>
      </c>
      <c r="K717" s="2" t="str">
        <f>UPPER(TEXT(Tabla1[[#This Row],[FECHA INF]],"MMMM"))</f>
        <v>MAYO</v>
      </c>
      <c r="L71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0169-24</v>
      </c>
    </row>
    <row r="718" spans="1:12" hidden="1" x14ac:dyDescent="0.25">
      <c r="A718" s="52">
        <v>45443</v>
      </c>
      <c r="B718" s="27" t="s">
        <v>148</v>
      </c>
      <c r="C718" s="2" t="s">
        <v>1569</v>
      </c>
      <c r="D718" s="2">
        <v>1</v>
      </c>
      <c r="E718" s="27" t="s">
        <v>139</v>
      </c>
      <c r="F718" t="s">
        <v>468</v>
      </c>
      <c r="G718" s="47"/>
      <c r="H718" s="102"/>
      <c r="I718" s="63"/>
      <c r="J718" t="str">
        <f>CONCATENATE(Tabla1[[#This Row],[OBRA]],"/",Tabla1[[#This Row],[CODIGO ENSAYO]])</f>
        <v>3-1/2-3</v>
      </c>
      <c r="K718" s="2" t="str">
        <f>UPPER(TEXT(Tabla1[[#This Row],[FECHA INF]],"MMMM"))</f>
        <v>MAYO</v>
      </c>
      <c r="L71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0170-24</v>
      </c>
    </row>
    <row r="719" spans="1:12" hidden="1" x14ac:dyDescent="0.25">
      <c r="A719" s="52">
        <v>45443</v>
      </c>
      <c r="B719" s="27" t="s">
        <v>148</v>
      </c>
      <c r="C719" s="2" t="s">
        <v>1569</v>
      </c>
      <c r="D719" s="2">
        <v>1</v>
      </c>
      <c r="E719" s="27" t="s">
        <v>156</v>
      </c>
      <c r="F719" t="s">
        <v>35</v>
      </c>
      <c r="G719" s="47"/>
      <c r="H719" s="102"/>
      <c r="I719" s="63"/>
      <c r="J719" t="str">
        <f>CONCATENATE(Tabla1[[#This Row],[OBRA]],"/",Tabla1[[#This Row],[CODIGO ENSAYO]])</f>
        <v>3-1/4-1</v>
      </c>
      <c r="K719" s="2" t="str">
        <f>UPPER(TEXT(Tabla1[[#This Row],[FECHA INF]],"MMMM"))</f>
        <v>MAYO</v>
      </c>
      <c r="L71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0170-24</v>
      </c>
    </row>
    <row r="720" spans="1:12" hidden="1" x14ac:dyDescent="0.25">
      <c r="A720" s="52">
        <v>45443</v>
      </c>
      <c r="B720" s="27" t="s">
        <v>148</v>
      </c>
      <c r="C720" s="2" t="s">
        <v>1570</v>
      </c>
      <c r="D720" s="2">
        <v>1</v>
      </c>
      <c r="E720" s="27" t="s">
        <v>159</v>
      </c>
      <c r="F720" t="s">
        <v>39</v>
      </c>
      <c r="G720" s="47"/>
      <c r="H720" s="102"/>
      <c r="I720" s="63"/>
      <c r="J720" t="str">
        <f>CONCATENATE(Tabla1[[#This Row],[OBRA]],"/",Tabla1[[#This Row],[CODIGO ENSAYO]])</f>
        <v>3-1/4-4</v>
      </c>
      <c r="K720" s="2" t="str">
        <f>UPPER(TEXT(Tabla1[[#This Row],[FECHA INF]],"MMMM"))</f>
        <v>MAYO</v>
      </c>
      <c r="L72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0171-24</v>
      </c>
    </row>
    <row r="721" spans="1:12" hidden="1" x14ac:dyDescent="0.25">
      <c r="A721" s="52">
        <v>45443</v>
      </c>
      <c r="B721" s="27" t="s">
        <v>148</v>
      </c>
      <c r="C721" s="2" t="s">
        <v>1571</v>
      </c>
      <c r="D721" s="2">
        <v>1</v>
      </c>
      <c r="E721" s="27" t="s">
        <v>162</v>
      </c>
      <c r="F721" t="s">
        <v>41</v>
      </c>
      <c r="G721" s="47"/>
      <c r="H721" s="102"/>
      <c r="I721" s="63"/>
      <c r="J721" t="str">
        <f>CONCATENATE(Tabla1[[#This Row],[OBRA]],"/",Tabla1[[#This Row],[CODIGO ENSAYO]])</f>
        <v>3-1/4-8</v>
      </c>
      <c r="K721" s="2" t="str">
        <f>UPPER(TEXT(Tabla1[[#This Row],[FECHA INF]],"MMMM"))</f>
        <v>MAYO</v>
      </c>
      <c r="L72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0172-24</v>
      </c>
    </row>
    <row r="722" spans="1:12" hidden="1" x14ac:dyDescent="0.25">
      <c r="A722" s="52">
        <v>45443</v>
      </c>
      <c r="B722" s="27" t="s">
        <v>148</v>
      </c>
      <c r="C722" s="2" t="s">
        <v>1572</v>
      </c>
      <c r="D722" s="2">
        <v>1</v>
      </c>
      <c r="E722" s="27" t="s">
        <v>162</v>
      </c>
      <c r="F722" t="s">
        <v>41</v>
      </c>
      <c r="G722" s="47"/>
      <c r="H722" s="102"/>
      <c r="I722" s="63"/>
      <c r="J722" t="str">
        <f>CONCATENATE(Tabla1[[#This Row],[OBRA]],"/",Tabla1[[#This Row],[CODIGO ENSAYO]])</f>
        <v>3-1/4-8</v>
      </c>
      <c r="K722" s="2" t="str">
        <f>UPPER(TEXT(Tabla1[[#This Row],[FECHA INF]],"MMMM"))</f>
        <v>MAYO</v>
      </c>
      <c r="L72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0173-24</v>
      </c>
    </row>
    <row r="723" spans="1:12" hidden="1" x14ac:dyDescent="0.25">
      <c r="A723" s="52">
        <v>45443</v>
      </c>
      <c r="B723" s="27" t="s">
        <v>148</v>
      </c>
      <c r="C723" s="2" t="s">
        <v>1565</v>
      </c>
      <c r="D723" s="2">
        <v>1</v>
      </c>
      <c r="E723" s="27" t="s">
        <v>139</v>
      </c>
      <c r="F723" t="s">
        <v>468</v>
      </c>
      <c r="G723" s="47"/>
      <c r="H723" s="102"/>
      <c r="I723" s="63"/>
      <c r="J723" t="str">
        <f>CONCATENATE(Tabla1[[#This Row],[OBRA]],"/",Tabla1[[#This Row],[CODIGO ENSAYO]])</f>
        <v>3-1/2-3</v>
      </c>
      <c r="K723" s="2" t="str">
        <f>UPPER(TEXT(Tabla1[[#This Row],[FECHA INF]],"MMMM"))</f>
        <v>MAYO</v>
      </c>
      <c r="L72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0174-24</v>
      </c>
    </row>
    <row r="724" spans="1:12" hidden="1" x14ac:dyDescent="0.25">
      <c r="A724" s="52">
        <v>45443</v>
      </c>
      <c r="B724" s="27" t="s">
        <v>148</v>
      </c>
      <c r="C724" s="2" t="s">
        <v>1565</v>
      </c>
      <c r="D724" s="2">
        <v>1</v>
      </c>
      <c r="E724" s="27" t="s">
        <v>156</v>
      </c>
      <c r="F724" t="s">
        <v>35</v>
      </c>
      <c r="G724" s="47"/>
      <c r="H724" s="102"/>
      <c r="I724" s="63"/>
      <c r="J724" t="str">
        <f>CONCATENATE(Tabla1[[#This Row],[OBRA]],"/",Tabla1[[#This Row],[CODIGO ENSAYO]])</f>
        <v>3-1/4-1</v>
      </c>
      <c r="K724" s="2" t="str">
        <f>UPPER(TEXT(Tabla1[[#This Row],[FECHA INF]],"MMMM"))</f>
        <v>MAYO</v>
      </c>
      <c r="L72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0174-24</v>
      </c>
    </row>
    <row r="725" spans="1:12" hidden="1" x14ac:dyDescent="0.25">
      <c r="A725" s="52">
        <v>45443</v>
      </c>
      <c r="B725" s="27" t="s">
        <v>522</v>
      </c>
      <c r="C725" s="2" t="s">
        <v>1590</v>
      </c>
      <c r="D725" s="2">
        <v>6</v>
      </c>
      <c r="E725" s="27" t="s">
        <v>123</v>
      </c>
      <c r="F725" t="s">
        <v>15</v>
      </c>
      <c r="G725" s="47"/>
      <c r="H725" s="102"/>
      <c r="I725" s="63"/>
      <c r="J725" t="str">
        <f>CONCATENATE(Tabla1[[#This Row],[OBRA]],"/",Tabla1[[#This Row],[CODIGO ENSAYO]])</f>
        <v>17-1/1-1</v>
      </c>
      <c r="K725" s="2" t="str">
        <f>UPPER(TEXT(Tabla1[[#This Row],[FECHA INF]],"MMMM"))</f>
        <v>MAYO</v>
      </c>
      <c r="L72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0179-24</v>
      </c>
    </row>
    <row r="726" spans="1:12" hidden="1" x14ac:dyDescent="0.25">
      <c r="A726" s="52">
        <v>45443</v>
      </c>
      <c r="B726" s="27" t="s">
        <v>522</v>
      </c>
      <c r="C726" s="2" t="s">
        <v>1591</v>
      </c>
      <c r="D726" s="2">
        <v>8</v>
      </c>
      <c r="E726" s="27" t="s">
        <v>123</v>
      </c>
      <c r="F726" t="s">
        <v>15</v>
      </c>
      <c r="G726" s="47"/>
      <c r="H726" s="102"/>
      <c r="I726" s="63"/>
      <c r="J726" t="str">
        <f>CONCATENATE(Tabla1[[#This Row],[OBRA]],"/",Tabla1[[#This Row],[CODIGO ENSAYO]])</f>
        <v>17-1/1-1</v>
      </c>
      <c r="K726" s="2" t="str">
        <f>UPPER(TEXT(Tabla1[[#This Row],[FECHA INF]],"MMMM"))</f>
        <v>MAYO</v>
      </c>
      <c r="L72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0181-24</v>
      </c>
    </row>
    <row r="727" spans="1:12" hidden="1" x14ac:dyDescent="0.25">
      <c r="A727" s="52">
        <v>45443</v>
      </c>
      <c r="B727" s="27" t="s">
        <v>148</v>
      </c>
      <c r="C727" s="2" t="s">
        <v>1581</v>
      </c>
      <c r="D727" s="2">
        <v>1</v>
      </c>
      <c r="E727" s="27" t="s">
        <v>123</v>
      </c>
      <c r="F727" t="s">
        <v>15</v>
      </c>
      <c r="G727" s="47"/>
      <c r="H727" s="102"/>
      <c r="I727" s="63"/>
      <c r="J727" t="str">
        <f>CONCATENATE(Tabla1[[#This Row],[OBRA]],"/",Tabla1[[#This Row],[CODIGO ENSAYO]])</f>
        <v>3-1/1-1</v>
      </c>
      <c r="K727" s="2" t="str">
        <f>UPPER(TEXT(Tabla1[[#This Row],[FECHA INF]],"MMMM"))</f>
        <v>MAYO</v>
      </c>
      <c r="L72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0182-24</v>
      </c>
    </row>
    <row r="728" spans="1:12" hidden="1" x14ac:dyDescent="0.25">
      <c r="A728" s="52">
        <v>45443</v>
      </c>
      <c r="B728" s="27" t="s">
        <v>522</v>
      </c>
      <c r="C728" s="2" t="s">
        <v>1592</v>
      </c>
      <c r="D728" s="2">
        <v>6</v>
      </c>
      <c r="E728" s="27" t="s">
        <v>123</v>
      </c>
      <c r="F728" t="s">
        <v>15</v>
      </c>
      <c r="G728" s="47"/>
      <c r="H728" s="102"/>
      <c r="I728" s="63"/>
      <c r="J728" t="str">
        <f>CONCATENATE(Tabla1[[#This Row],[OBRA]],"/",Tabla1[[#This Row],[CODIGO ENSAYO]])</f>
        <v>17-1/1-1</v>
      </c>
      <c r="K728" s="2" t="str">
        <f>UPPER(TEXT(Tabla1[[#This Row],[FECHA INF]],"MMMM"))</f>
        <v>MAYO</v>
      </c>
      <c r="L72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0183-24</v>
      </c>
    </row>
    <row r="729" spans="1:12" hidden="1" x14ac:dyDescent="0.25">
      <c r="A729" s="52">
        <v>45443</v>
      </c>
      <c r="B729" s="27" t="s">
        <v>522</v>
      </c>
      <c r="C729" s="2" t="s">
        <v>1593</v>
      </c>
      <c r="D729" s="2">
        <v>2</v>
      </c>
      <c r="E729" s="27" t="s">
        <v>123</v>
      </c>
      <c r="F729" t="s">
        <v>15</v>
      </c>
      <c r="G729" s="47"/>
      <c r="H729" s="102"/>
      <c r="I729" s="63"/>
      <c r="J729" t="str">
        <f>CONCATENATE(Tabla1[[#This Row],[OBRA]],"/",Tabla1[[#This Row],[CODIGO ENSAYO]])</f>
        <v>17-1/1-1</v>
      </c>
      <c r="K729" s="2" t="str">
        <f>UPPER(TEXT(Tabla1[[#This Row],[FECHA INF]],"MMMM"))</f>
        <v>MAYO</v>
      </c>
      <c r="L72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0184-24</v>
      </c>
    </row>
    <row r="730" spans="1:12" hidden="1" x14ac:dyDescent="0.25">
      <c r="A730" s="52">
        <v>45443</v>
      </c>
      <c r="B730" s="27" t="s">
        <v>148</v>
      </c>
      <c r="C730" s="2" t="s">
        <v>1582</v>
      </c>
      <c r="D730" s="2">
        <v>1</v>
      </c>
      <c r="E730" s="27" t="s">
        <v>123</v>
      </c>
      <c r="F730" t="s">
        <v>15</v>
      </c>
      <c r="G730" s="47"/>
      <c r="H730" s="102"/>
      <c r="I730" s="63"/>
      <c r="J730" t="str">
        <f>CONCATENATE(Tabla1[[#This Row],[OBRA]],"/",Tabla1[[#This Row],[CODIGO ENSAYO]])</f>
        <v>3-1/1-1</v>
      </c>
      <c r="K730" s="2" t="str">
        <f>UPPER(TEXT(Tabla1[[#This Row],[FECHA INF]],"MMMM"))</f>
        <v>MAYO</v>
      </c>
      <c r="L73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0185-24</v>
      </c>
    </row>
    <row r="731" spans="1:12" hidden="1" x14ac:dyDescent="0.25">
      <c r="A731" s="52">
        <v>45443</v>
      </c>
      <c r="B731" s="27" t="s">
        <v>522</v>
      </c>
      <c r="C731" s="2" t="s">
        <v>1594</v>
      </c>
      <c r="D731" s="2">
        <v>8</v>
      </c>
      <c r="E731" s="27" t="s">
        <v>123</v>
      </c>
      <c r="F731" t="s">
        <v>15</v>
      </c>
      <c r="G731" s="47"/>
      <c r="H731" s="102"/>
      <c r="I731" s="63"/>
      <c r="J731" t="str">
        <f>CONCATENATE(Tabla1[[#This Row],[OBRA]],"/",Tabla1[[#This Row],[CODIGO ENSAYO]])</f>
        <v>17-1/1-1</v>
      </c>
      <c r="K731" s="2" t="str">
        <f>UPPER(TEXT(Tabla1[[#This Row],[FECHA INF]],"MMMM"))</f>
        <v>MAYO</v>
      </c>
      <c r="L73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0186-24</v>
      </c>
    </row>
    <row r="732" spans="1:12" hidden="1" x14ac:dyDescent="0.25">
      <c r="A732" s="52">
        <v>45443</v>
      </c>
      <c r="B732" s="27" t="s">
        <v>522</v>
      </c>
      <c r="C732" s="2" t="s">
        <v>1595</v>
      </c>
      <c r="D732" s="2">
        <v>2</v>
      </c>
      <c r="E732" s="27" t="s">
        <v>123</v>
      </c>
      <c r="F732" t="s">
        <v>15</v>
      </c>
      <c r="G732" s="47"/>
      <c r="H732" s="102"/>
      <c r="I732" s="63"/>
      <c r="J732" t="str">
        <f>CONCATENATE(Tabla1[[#This Row],[OBRA]],"/",Tabla1[[#This Row],[CODIGO ENSAYO]])</f>
        <v>17-1/1-1</v>
      </c>
      <c r="K732" s="2" t="str">
        <f>UPPER(TEXT(Tabla1[[#This Row],[FECHA INF]],"MMMM"))</f>
        <v>MAYO</v>
      </c>
      <c r="L73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0188-24</v>
      </c>
    </row>
    <row r="733" spans="1:12" hidden="1" x14ac:dyDescent="0.25">
      <c r="A733" s="52">
        <v>45443</v>
      </c>
      <c r="B733" s="27" t="s">
        <v>148</v>
      </c>
      <c r="C733" s="2" t="s">
        <v>1564</v>
      </c>
      <c r="D733" s="2">
        <v>1</v>
      </c>
      <c r="E733" s="27" t="s">
        <v>712</v>
      </c>
      <c r="F733" t="s">
        <v>713</v>
      </c>
      <c r="G733" s="47"/>
      <c r="H733" s="102"/>
      <c r="I733" s="63"/>
      <c r="J733" t="str">
        <f>CONCATENATE(Tabla1[[#This Row],[OBRA]],"/",Tabla1[[#This Row],[CODIGO ENSAYO]])</f>
        <v>3-1/5-9</v>
      </c>
      <c r="K733" s="2" t="str">
        <f>UPPER(TEXT(Tabla1[[#This Row],[FECHA INF]],"MMMM"))</f>
        <v>MAYO</v>
      </c>
      <c r="L73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0189-24</v>
      </c>
    </row>
    <row r="734" spans="1:12" hidden="1" x14ac:dyDescent="0.25">
      <c r="A734" s="52">
        <v>45443</v>
      </c>
      <c r="B734" s="27" t="s">
        <v>148</v>
      </c>
      <c r="C734" s="2" t="s">
        <v>1563</v>
      </c>
      <c r="D734" s="2">
        <v>1</v>
      </c>
      <c r="E734" s="27" t="s">
        <v>712</v>
      </c>
      <c r="F734" t="s">
        <v>713</v>
      </c>
      <c r="G734" s="47"/>
      <c r="H734" s="102"/>
      <c r="I734" s="63"/>
      <c r="J734" t="str">
        <f>CONCATENATE(Tabla1[[#This Row],[OBRA]],"/",Tabla1[[#This Row],[CODIGO ENSAYO]])</f>
        <v>3-1/5-9</v>
      </c>
      <c r="K734" s="2" t="str">
        <f>UPPER(TEXT(Tabla1[[#This Row],[FECHA INF]],"MMMM"))</f>
        <v>MAYO</v>
      </c>
      <c r="L73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0190-24</v>
      </c>
    </row>
    <row r="735" spans="1:12" hidden="1" x14ac:dyDescent="0.25">
      <c r="A735" s="52">
        <v>45443</v>
      </c>
      <c r="B735" s="27" t="s">
        <v>148</v>
      </c>
      <c r="C735" s="2" t="s">
        <v>1583</v>
      </c>
      <c r="D735" s="2">
        <v>3</v>
      </c>
      <c r="E735" s="27" t="s">
        <v>123</v>
      </c>
      <c r="F735" t="s">
        <v>15</v>
      </c>
      <c r="G735" s="47"/>
      <c r="H735" s="102"/>
      <c r="I735" s="63"/>
      <c r="J735" t="str">
        <f>CONCATENATE(Tabla1[[#This Row],[OBRA]],"/",Tabla1[[#This Row],[CODIGO ENSAYO]])</f>
        <v>3-1/1-1</v>
      </c>
      <c r="K735" s="2" t="str">
        <f>UPPER(TEXT(Tabla1[[#This Row],[FECHA INF]],"MMMM"))</f>
        <v>MAYO</v>
      </c>
      <c r="L73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0191-24</v>
      </c>
    </row>
    <row r="736" spans="1:12" hidden="1" x14ac:dyDescent="0.25">
      <c r="A736" s="52">
        <v>45443</v>
      </c>
      <c r="B736" s="27" t="s">
        <v>522</v>
      </c>
      <c r="C736" s="2" t="s">
        <v>1596</v>
      </c>
      <c r="D736" s="2">
        <v>2</v>
      </c>
      <c r="E736" s="27" t="s">
        <v>123</v>
      </c>
      <c r="F736" t="s">
        <v>15</v>
      </c>
      <c r="G736" s="47"/>
      <c r="H736" s="102"/>
      <c r="I736" s="63"/>
      <c r="J736" t="str">
        <f>CONCATENATE(Tabla1[[#This Row],[OBRA]],"/",Tabla1[[#This Row],[CODIGO ENSAYO]])</f>
        <v>17-1/1-1</v>
      </c>
      <c r="K736" s="2" t="str">
        <f>UPPER(TEXT(Tabla1[[#This Row],[FECHA INF]],"MMMM"))</f>
        <v>MAYO</v>
      </c>
      <c r="L73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0192-24</v>
      </c>
    </row>
    <row r="737" spans="1:12" hidden="1" x14ac:dyDescent="0.25">
      <c r="A737" s="52">
        <v>45443</v>
      </c>
      <c r="B737" s="27" t="s">
        <v>148</v>
      </c>
      <c r="C737" s="2" t="s">
        <v>1584</v>
      </c>
      <c r="D737" s="2">
        <v>1</v>
      </c>
      <c r="E737" s="27" t="s">
        <v>123</v>
      </c>
      <c r="F737" t="s">
        <v>15</v>
      </c>
      <c r="G737" s="47"/>
      <c r="H737" s="102"/>
      <c r="I737" s="63"/>
      <c r="J737" t="str">
        <f>CONCATENATE(Tabla1[[#This Row],[OBRA]],"/",Tabla1[[#This Row],[CODIGO ENSAYO]])</f>
        <v>3-1/1-1</v>
      </c>
      <c r="K737" s="2" t="str">
        <f>UPPER(TEXT(Tabla1[[#This Row],[FECHA INF]],"MMMM"))</f>
        <v>MAYO</v>
      </c>
      <c r="L73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0193-24</v>
      </c>
    </row>
    <row r="738" spans="1:12" hidden="1" x14ac:dyDescent="0.25">
      <c r="A738" s="52">
        <v>45443</v>
      </c>
      <c r="B738" s="27" t="s">
        <v>148</v>
      </c>
      <c r="C738" s="2" t="s">
        <v>1585</v>
      </c>
      <c r="D738" s="2">
        <v>1</v>
      </c>
      <c r="E738" s="27" t="s">
        <v>123</v>
      </c>
      <c r="F738" t="s">
        <v>15</v>
      </c>
      <c r="G738" s="47"/>
      <c r="H738" s="102"/>
      <c r="I738" s="63"/>
      <c r="J738" t="str">
        <f>CONCATENATE(Tabla1[[#This Row],[OBRA]],"/",Tabla1[[#This Row],[CODIGO ENSAYO]])</f>
        <v>3-1/1-1</v>
      </c>
      <c r="K738" s="2" t="str">
        <f>UPPER(TEXT(Tabla1[[#This Row],[FECHA INF]],"MMMM"))</f>
        <v>MAYO</v>
      </c>
      <c r="L73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0194-24</v>
      </c>
    </row>
    <row r="739" spans="1:12" hidden="1" x14ac:dyDescent="0.25">
      <c r="A739" s="52">
        <v>45443</v>
      </c>
      <c r="B739" s="27" t="s">
        <v>148</v>
      </c>
      <c r="C739" s="2" t="s">
        <v>1586</v>
      </c>
      <c r="D739" s="2">
        <v>1</v>
      </c>
      <c r="E739" s="27" t="s">
        <v>123</v>
      </c>
      <c r="F739" t="s">
        <v>15</v>
      </c>
      <c r="G739" s="47"/>
      <c r="H739" s="102"/>
      <c r="I739" s="63"/>
      <c r="J739" t="str">
        <f>CONCATENATE(Tabla1[[#This Row],[OBRA]],"/",Tabla1[[#This Row],[CODIGO ENSAYO]])</f>
        <v>3-1/1-1</v>
      </c>
      <c r="K739" s="2" t="str">
        <f>UPPER(TEXT(Tabla1[[#This Row],[FECHA INF]],"MMMM"))</f>
        <v>MAYO</v>
      </c>
      <c r="L73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0196-24</v>
      </c>
    </row>
    <row r="740" spans="1:12" hidden="1" x14ac:dyDescent="0.25">
      <c r="A740" s="52">
        <v>45443</v>
      </c>
      <c r="B740" s="27" t="s">
        <v>522</v>
      </c>
      <c r="C740" s="2" t="s">
        <v>1597</v>
      </c>
      <c r="D740" s="2">
        <v>2</v>
      </c>
      <c r="E740" s="27" t="s">
        <v>123</v>
      </c>
      <c r="F740" t="s">
        <v>15</v>
      </c>
      <c r="G740" s="47"/>
      <c r="H740" s="102"/>
      <c r="I740" s="63"/>
      <c r="J740" t="str">
        <f>CONCATENATE(Tabla1[[#This Row],[OBRA]],"/",Tabla1[[#This Row],[CODIGO ENSAYO]])</f>
        <v>17-1/1-1</v>
      </c>
      <c r="K740" s="2" t="str">
        <f>UPPER(TEXT(Tabla1[[#This Row],[FECHA INF]],"MMMM"))</f>
        <v>MAYO</v>
      </c>
      <c r="L74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0197-24</v>
      </c>
    </row>
    <row r="741" spans="1:12" hidden="1" x14ac:dyDescent="0.25">
      <c r="A741" s="52">
        <v>45443</v>
      </c>
      <c r="B741" s="27" t="s">
        <v>522</v>
      </c>
      <c r="C741" s="2" t="s">
        <v>1598</v>
      </c>
      <c r="D741" s="2">
        <v>18</v>
      </c>
      <c r="E741" s="27" t="s">
        <v>123</v>
      </c>
      <c r="F741" t="s">
        <v>15</v>
      </c>
      <c r="G741" s="47"/>
      <c r="H741" s="102"/>
      <c r="I741" s="63"/>
      <c r="J741" t="str">
        <f>CONCATENATE(Tabla1[[#This Row],[OBRA]],"/",Tabla1[[#This Row],[CODIGO ENSAYO]])</f>
        <v>17-1/1-1</v>
      </c>
      <c r="K741" s="2" t="str">
        <f>UPPER(TEXT(Tabla1[[#This Row],[FECHA INF]],"MMMM"))</f>
        <v>MAYO</v>
      </c>
      <c r="L74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0199-24</v>
      </c>
    </row>
    <row r="742" spans="1:12" hidden="1" x14ac:dyDescent="0.25">
      <c r="A742" s="52">
        <v>45443</v>
      </c>
      <c r="B742" s="27" t="s">
        <v>522</v>
      </c>
      <c r="C742" s="2" t="s">
        <v>1599</v>
      </c>
      <c r="D742" s="2">
        <v>2</v>
      </c>
      <c r="E742" s="27" t="s">
        <v>123</v>
      </c>
      <c r="F742" t="s">
        <v>15</v>
      </c>
      <c r="G742" s="47"/>
      <c r="H742" s="102"/>
      <c r="I742" s="63"/>
      <c r="J742" t="str">
        <f>CONCATENATE(Tabla1[[#This Row],[OBRA]],"/",Tabla1[[#This Row],[CODIGO ENSAYO]])</f>
        <v>17-1/1-1</v>
      </c>
      <c r="K742" s="2" t="str">
        <f>UPPER(TEXT(Tabla1[[#This Row],[FECHA INF]],"MMMM"))</f>
        <v>MAYO</v>
      </c>
      <c r="L74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0200-24</v>
      </c>
    </row>
    <row r="743" spans="1:12" hidden="1" x14ac:dyDescent="0.25">
      <c r="A743" s="52">
        <v>45443</v>
      </c>
      <c r="B743" s="27" t="s">
        <v>522</v>
      </c>
      <c r="C743" s="2" t="s">
        <v>1600</v>
      </c>
      <c r="D743" s="2">
        <v>3</v>
      </c>
      <c r="E743" s="27" t="s">
        <v>123</v>
      </c>
      <c r="F743" t="s">
        <v>15</v>
      </c>
      <c r="G743" s="47"/>
      <c r="H743" s="102"/>
      <c r="I743" s="63"/>
      <c r="J743" t="str">
        <f>CONCATENATE(Tabla1[[#This Row],[OBRA]],"/",Tabla1[[#This Row],[CODIGO ENSAYO]])</f>
        <v>17-1/1-1</v>
      </c>
      <c r="K743" s="2" t="str">
        <f>UPPER(TEXT(Tabla1[[#This Row],[FECHA INF]],"MMMM"))</f>
        <v>MAYO</v>
      </c>
      <c r="L74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0201-24</v>
      </c>
    </row>
    <row r="744" spans="1:12" hidden="1" x14ac:dyDescent="0.25">
      <c r="A744" s="52">
        <v>45443</v>
      </c>
      <c r="B744" s="27" t="s">
        <v>522</v>
      </c>
      <c r="C744" s="2" t="s">
        <v>1601</v>
      </c>
      <c r="D744" s="2">
        <v>2</v>
      </c>
      <c r="E744" s="27" t="s">
        <v>123</v>
      </c>
      <c r="F744" t="s">
        <v>15</v>
      </c>
      <c r="G744" s="47"/>
      <c r="H744" s="102"/>
      <c r="I744" s="63"/>
      <c r="J744" t="str">
        <f>CONCATENATE(Tabla1[[#This Row],[OBRA]],"/",Tabla1[[#This Row],[CODIGO ENSAYO]])</f>
        <v>17-1/1-1</v>
      </c>
      <c r="K744" s="2" t="str">
        <f>UPPER(TEXT(Tabla1[[#This Row],[FECHA INF]],"MMMM"))</f>
        <v>MAYO</v>
      </c>
      <c r="L74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0202-24</v>
      </c>
    </row>
    <row r="745" spans="1:12" hidden="1" x14ac:dyDescent="0.25">
      <c r="A745" s="52">
        <v>45473</v>
      </c>
      <c r="B745" s="27" t="s">
        <v>522</v>
      </c>
      <c r="C745" s="2" t="s">
        <v>1619</v>
      </c>
      <c r="D745" s="2">
        <v>3</v>
      </c>
      <c r="E745" s="27" t="s">
        <v>175</v>
      </c>
      <c r="F745" t="s">
        <v>390</v>
      </c>
      <c r="G745" s="47"/>
      <c r="H745" s="102"/>
      <c r="I745" s="63"/>
      <c r="J745" t="str">
        <f>CONCATENATE(Tabla1[[#This Row],[OBRA]],"/",Tabla1[[#This Row],[CODIGO ENSAYO]])</f>
        <v>17-1/7-1</v>
      </c>
      <c r="K745" s="2" t="str">
        <f>UPPER(TEXT(Tabla1[[#This Row],[FECHA INF]],"MMMM"))</f>
        <v>JUNIO</v>
      </c>
      <c r="L74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(Transporte de 04-12-26 de Junio de 2024)</v>
      </c>
    </row>
    <row r="746" spans="1:12" hidden="1" x14ac:dyDescent="0.25">
      <c r="A746" s="52">
        <v>45473</v>
      </c>
      <c r="B746" s="27" t="s">
        <v>522</v>
      </c>
      <c r="C746" s="2" t="s">
        <v>1607</v>
      </c>
      <c r="D746" s="2">
        <v>2</v>
      </c>
      <c r="E746" s="27" t="s">
        <v>123</v>
      </c>
      <c r="F746" t="s">
        <v>15</v>
      </c>
      <c r="G746" s="47"/>
      <c r="H746" s="102"/>
      <c r="I746" s="63"/>
      <c r="J746" t="str">
        <f>CONCATENATE(Tabla1[[#This Row],[OBRA]],"/",Tabla1[[#This Row],[CODIGO ENSAYO]])</f>
        <v>17-1/1-1</v>
      </c>
      <c r="K746" s="2" t="str">
        <f>UPPER(TEXT(Tabla1[[#This Row],[FECHA INF]],"MMMM"))</f>
        <v>JUNIO</v>
      </c>
      <c r="L74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0204-24</v>
      </c>
    </row>
    <row r="747" spans="1:12" hidden="1" x14ac:dyDescent="0.25">
      <c r="A747" s="52">
        <v>45473</v>
      </c>
      <c r="B747" s="27" t="s">
        <v>522</v>
      </c>
      <c r="C747" s="2" t="s">
        <v>1608</v>
      </c>
      <c r="D747" s="2">
        <v>9</v>
      </c>
      <c r="E747" s="27" t="s">
        <v>123</v>
      </c>
      <c r="F747" t="s">
        <v>15</v>
      </c>
      <c r="G747" s="47"/>
      <c r="H747" s="102"/>
      <c r="I747" s="63"/>
      <c r="J747" t="str">
        <f>CONCATENATE(Tabla1[[#This Row],[OBRA]],"/",Tabla1[[#This Row],[CODIGO ENSAYO]])</f>
        <v>17-1/1-1</v>
      </c>
      <c r="K747" s="2" t="str">
        <f>UPPER(TEXT(Tabla1[[#This Row],[FECHA INF]],"MMMM"))</f>
        <v>JUNIO</v>
      </c>
      <c r="L74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0206-24</v>
      </c>
    </row>
    <row r="748" spans="1:12" hidden="1" x14ac:dyDescent="0.25">
      <c r="A748" s="52">
        <v>45473</v>
      </c>
      <c r="B748" s="27" t="s">
        <v>522</v>
      </c>
      <c r="C748" s="2" t="s">
        <v>1609</v>
      </c>
      <c r="D748" s="2">
        <v>14</v>
      </c>
      <c r="E748" s="27" t="s">
        <v>123</v>
      </c>
      <c r="F748" t="s">
        <v>15</v>
      </c>
      <c r="G748" s="47"/>
      <c r="H748" s="102"/>
      <c r="I748" s="63"/>
      <c r="J748" t="str">
        <f>CONCATENATE(Tabla1[[#This Row],[OBRA]],"/",Tabla1[[#This Row],[CODIGO ENSAYO]])</f>
        <v>17-1/1-1</v>
      </c>
      <c r="K748" s="2" t="str">
        <f>UPPER(TEXT(Tabla1[[#This Row],[FECHA INF]],"MMMM"))</f>
        <v>JUNIO</v>
      </c>
      <c r="L74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0208-24</v>
      </c>
    </row>
    <row r="749" spans="1:12" hidden="1" x14ac:dyDescent="0.25">
      <c r="A749" s="52">
        <v>45473</v>
      </c>
      <c r="B749" s="27" t="s">
        <v>522</v>
      </c>
      <c r="C749" s="2" t="s">
        <v>1610</v>
      </c>
      <c r="D749" s="2">
        <v>3</v>
      </c>
      <c r="E749" s="27" t="s">
        <v>123</v>
      </c>
      <c r="F749" t="s">
        <v>15</v>
      </c>
      <c r="G749" s="47"/>
      <c r="H749" s="102"/>
      <c r="I749" s="63"/>
      <c r="J749" t="str">
        <f>CONCATENATE(Tabla1[[#This Row],[OBRA]],"/",Tabla1[[#This Row],[CODIGO ENSAYO]])</f>
        <v>17-1/1-1</v>
      </c>
      <c r="K749" s="2" t="str">
        <f>UPPER(TEXT(Tabla1[[#This Row],[FECHA INF]],"MMMM"))</f>
        <v>JUNIO</v>
      </c>
      <c r="L74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0210-24</v>
      </c>
    </row>
    <row r="750" spans="1:12" hidden="1" x14ac:dyDescent="0.25">
      <c r="A750" s="52">
        <v>45473</v>
      </c>
      <c r="B750" s="27" t="s">
        <v>148</v>
      </c>
      <c r="C750" s="2" t="s">
        <v>1603</v>
      </c>
      <c r="D750" s="2">
        <v>5</v>
      </c>
      <c r="E750" s="27" t="s">
        <v>123</v>
      </c>
      <c r="F750" t="s">
        <v>15</v>
      </c>
      <c r="G750" s="47"/>
      <c r="H750" s="102"/>
      <c r="I750" s="63"/>
      <c r="J750" t="str">
        <f>CONCATENATE(Tabla1[[#This Row],[OBRA]],"/",Tabla1[[#This Row],[CODIGO ENSAYO]])</f>
        <v>3-1/1-1</v>
      </c>
      <c r="K750" s="2" t="str">
        <f>UPPER(TEXT(Tabla1[[#This Row],[FECHA INF]],"MMMM"))</f>
        <v>JUNIO</v>
      </c>
      <c r="L75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0211-24</v>
      </c>
    </row>
    <row r="751" spans="1:12" hidden="1" x14ac:dyDescent="0.25">
      <c r="A751" s="52">
        <v>45473</v>
      </c>
      <c r="B751" s="27" t="s">
        <v>522</v>
      </c>
      <c r="C751" s="2" t="s">
        <v>1611</v>
      </c>
      <c r="D751" s="2">
        <v>2</v>
      </c>
      <c r="E751" s="27" t="s">
        <v>123</v>
      </c>
      <c r="F751" t="s">
        <v>15</v>
      </c>
      <c r="G751" s="47"/>
      <c r="H751" s="102"/>
      <c r="I751" s="63"/>
      <c r="J751" t="str">
        <f>CONCATENATE(Tabla1[[#This Row],[OBRA]],"/",Tabla1[[#This Row],[CODIGO ENSAYO]])</f>
        <v>17-1/1-1</v>
      </c>
      <c r="K751" s="2" t="str">
        <f>UPPER(TEXT(Tabla1[[#This Row],[FECHA INF]],"MMMM"))</f>
        <v>JUNIO</v>
      </c>
      <c r="L75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0213-24</v>
      </c>
    </row>
    <row r="752" spans="1:12" hidden="1" x14ac:dyDescent="0.25">
      <c r="A752" s="52">
        <v>45473</v>
      </c>
      <c r="B752" s="27" t="s">
        <v>148</v>
      </c>
      <c r="C752" s="2" t="s">
        <v>1604</v>
      </c>
      <c r="D752" s="2">
        <v>3</v>
      </c>
      <c r="E752" s="27" t="s">
        <v>123</v>
      </c>
      <c r="F752" t="s">
        <v>15</v>
      </c>
      <c r="G752" s="47"/>
      <c r="H752" s="102"/>
      <c r="I752" s="63"/>
      <c r="J752" t="str">
        <f>CONCATENATE(Tabla1[[#This Row],[OBRA]],"/",Tabla1[[#This Row],[CODIGO ENSAYO]])</f>
        <v>3-1/1-1</v>
      </c>
      <c r="K752" s="2" t="str">
        <f>UPPER(TEXT(Tabla1[[#This Row],[FECHA INF]],"MMMM"))</f>
        <v>JUNIO</v>
      </c>
      <c r="L75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0214-24</v>
      </c>
    </row>
    <row r="753" spans="1:12" hidden="1" x14ac:dyDescent="0.25">
      <c r="A753" s="52">
        <v>45473</v>
      </c>
      <c r="B753" s="27" t="s">
        <v>522</v>
      </c>
      <c r="C753" s="2" t="s">
        <v>1612</v>
      </c>
      <c r="D753" s="2">
        <v>3</v>
      </c>
      <c r="E753" s="27" t="s">
        <v>123</v>
      </c>
      <c r="F753" t="s">
        <v>15</v>
      </c>
      <c r="G753" s="47"/>
      <c r="H753" s="102"/>
      <c r="I753" s="63"/>
      <c r="J753" t="str">
        <f>CONCATENATE(Tabla1[[#This Row],[OBRA]],"/",Tabla1[[#This Row],[CODIGO ENSAYO]])</f>
        <v>17-1/1-1</v>
      </c>
      <c r="K753" s="2" t="str">
        <f>UPPER(TEXT(Tabla1[[#This Row],[FECHA INF]],"MMMM"))</f>
        <v>JUNIO</v>
      </c>
      <c r="L75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0216-24</v>
      </c>
    </row>
    <row r="754" spans="1:12" hidden="1" x14ac:dyDescent="0.25">
      <c r="A754" s="52">
        <v>45473</v>
      </c>
      <c r="B754" s="27" t="s">
        <v>148</v>
      </c>
      <c r="C754" s="2" t="s">
        <v>1605</v>
      </c>
      <c r="D754" s="2">
        <v>2</v>
      </c>
      <c r="E754" s="27" t="s">
        <v>123</v>
      </c>
      <c r="F754" t="s">
        <v>15</v>
      </c>
      <c r="G754" s="47"/>
      <c r="H754" s="102"/>
      <c r="I754" s="63"/>
      <c r="J754" t="str">
        <f>CONCATENATE(Tabla1[[#This Row],[OBRA]],"/",Tabla1[[#This Row],[CODIGO ENSAYO]])</f>
        <v>3-1/1-1</v>
      </c>
      <c r="K754" s="2" t="str">
        <f>UPPER(TEXT(Tabla1[[#This Row],[FECHA INF]],"MMMM"))</f>
        <v>JUNIO</v>
      </c>
      <c r="L75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0217-24</v>
      </c>
    </row>
    <row r="755" spans="1:12" hidden="1" x14ac:dyDescent="0.25">
      <c r="A755" s="52">
        <v>45473</v>
      </c>
      <c r="B755" s="27" t="s">
        <v>522</v>
      </c>
      <c r="C755" s="2" t="s">
        <v>1613</v>
      </c>
      <c r="D755" s="2">
        <v>10</v>
      </c>
      <c r="E755" s="27" t="s">
        <v>123</v>
      </c>
      <c r="F755" t="s">
        <v>15</v>
      </c>
      <c r="G755" s="47"/>
      <c r="H755" s="102"/>
      <c r="I755" s="63"/>
      <c r="J755" t="str">
        <f>CONCATENATE(Tabla1[[#This Row],[OBRA]],"/",Tabla1[[#This Row],[CODIGO ENSAYO]])</f>
        <v>17-1/1-1</v>
      </c>
      <c r="K755" s="2" t="str">
        <f>UPPER(TEXT(Tabla1[[#This Row],[FECHA INF]],"MMMM"))</f>
        <v>JUNIO</v>
      </c>
      <c r="L75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0218-24</v>
      </c>
    </row>
    <row r="756" spans="1:12" hidden="1" x14ac:dyDescent="0.25">
      <c r="A756" s="52">
        <v>45473</v>
      </c>
      <c r="B756" s="27" t="s">
        <v>522</v>
      </c>
      <c r="C756" s="2" t="s">
        <v>1614</v>
      </c>
      <c r="D756" s="2">
        <v>3</v>
      </c>
      <c r="E756" s="27" t="s">
        <v>123</v>
      </c>
      <c r="F756" t="s">
        <v>15</v>
      </c>
      <c r="G756" s="47"/>
      <c r="H756" s="102"/>
      <c r="I756" s="63"/>
      <c r="J756" t="str">
        <f>CONCATENATE(Tabla1[[#This Row],[OBRA]],"/",Tabla1[[#This Row],[CODIGO ENSAYO]])</f>
        <v>17-1/1-1</v>
      </c>
      <c r="K756" s="2" t="str">
        <f>UPPER(TEXT(Tabla1[[#This Row],[FECHA INF]],"MMMM"))</f>
        <v>JUNIO</v>
      </c>
      <c r="L75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0219-24</v>
      </c>
    </row>
    <row r="757" spans="1:12" hidden="1" x14ac:dyDescent="0.25">
      <c r="A757" s="52">
        <v>45473</v>
      </c>
      <c r="B757" s="27" t="s">
        <v>148</v>
      </c>
      <c r="C757" s="2" t="s">
        <v>1606</v>
      </c>
      <c r="D757" s="2">
        <v>1</v>
      </c>
      <c r="E757" s="27" t="s">
        <v>123</v>
      </c>
      <c r="F757" t="s">
        <v>15</v>
      </c>
      <c r="G757" s="47"/>
      <c r="H757" s="102"/>
      <c r="I757" s="63"/>
      <c r="J757" t="str">
        <f>CONCATENATE(Tabla1[[#This Row],[OBRA]],"/",Tabla1[[#This Row],[CODIGO ENSAYO]])</f>
        <v>3-1/1-1</v>
      </c>
      <c r="K757" s="2" t="str">
        <f>UPPER(TEXT(Tabla1[[#This Row],[FECHA INF]],"MMMM"))</f>
        <v>JUNIO</v>
      </c>
      <c r="L75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0220-24</v>
      </c>
    </row>
    <row r="758" spans="1:12" hidden="1" x14ac:dyDescent="0.25">
      <c r="A758" s="52">
        <v>45473</v>
      </c>
      <c r="B758" s="27" t="s">
        <v>522</v>
      </c>
      <c r="C758" s="2" t="s">
        <v>1615</v>
      </c>
      <c r="D758" s="2">
        <v>2</v>
      </c>
      <c r="E758" s="27" t="s">
        <v>123</v>
      </c>
      <c r="F758" t="s">
        <v>15</v>
      </c>
      <c r="G758" s="47"/>
      <c r="H758" s="102"/>
      <c r="I758" s="63"/>
      <c r="J758" t="str">
        <f>CONCATENATE(Tabla1[[#This Row],[OBRA]],"/",Tabla1[[#This Row],[CODIGO ENSAYO]])</f>
        <v>17-1/1-1</v>
      </c>
      <c r="K758" s="2" t="str">
        <f>UPPER(TEXT(Tabla1[[#This Row],[FECHA INF]],"MMMM"))</f>
        <v>JUNIO</v>
      </c>
      <c r="L75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0222-24</v>
      </c>
    </row>
    <row r="759" spans="1:12" hidden="1" x14ac:dyDescent="0.25">
      <c r="A759" s="52">
        <v>45473</v>
      </c>
      <c r="B759" s="27" t="s">
        <v>522</v>
      </c>
      <c r="C759" s="2" t="s">
        <v>1616</v>
      </c>
      <c r="D759" s="2">
        <v>2</v>
      </c>
      <c r="E759" s="27" t="s">
        <v>123</v>
      </c>
      <c r="F759" t="s">
        <v>15</v>
      </c>
      <c r="G759" s="47"/>
      <c r="H759" s="102"/>
      <c r="I759" s="63"/>
      <c r="J759" t="str">
        <f>CONCATENATE(Tabla1[[#This Row],[OBRA]],"/",Tabla1[[#This Row],[CODIGO ENSAYO]])</f>
        <v>17-1/1-1</v>
      </c>
      <c r="K759" s="2" t="str">
        <f>UPPER(TEXT(Tabla1[[#This Row],[FECHA INF]],"MMMM"))</f>
        <v>JUNIO</v>
      </c>
      <c r="L75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0224-24</v>
      </c>
    </row>
    <row r="760" spans="1:12" hidden="1" x14ac:dyDescent="0.25">
      <c r="A760" s="52">
        <v>45473</v>
      </c>
      <c r="B760" s="27" t="s">
        <v>522</v>
      </c>
      <c r="C760" s="2" t="s">
        <v>1617</v>
      </c>
      <c r="D760" s="2">
        <v>9</v>
      </c>
      <c r="E760" s="27" t="s">
        <v>123</v>
      </c>
      <c r="F760" t="s">
        <v>15</v>
      </c>
      <c r="G760" s="47"/>
      <c r="H760" s="102"/>
      <c r="I760" s="63"/>
      <c r="J760" t="str">
        <f>CONCATENATE(Tabla1[[#This Row],[OBRA]],"/",Tabla1[[#This Row],[CODIGO ENSAYO]])</f>
        <v>17-1/1-1</v>
      </c>
      <c r="K760" s="2" t="str">
        <f>UPPER(TEXT(Tabla1[[#This Row],[FECHA INF]],"MMMM"))</f>
        <v>JUNIO</v>
      </c>
      <c r="L76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0225-24</v>
      </c>
    </row>
    <row r="761" spans="1:12" hidden="1" x14ac:dyDescent="0.25">
      <c r="A761" s="52">
        <v>45473</v>
      </c>
      <c r="B761" s="27" t="s">
        <v>522</v>
      </c>
      <c r="C761" s="2" t="s">
        <v>1618</v>
      </c>
      <c r="D761" s="2">
        <v>12</v>
      </c>
      <c r="E761" s="27" t="s">
        <v>123</v>
      </c>
      <c r="F761" t="s">
        <v>15</v>
      </c>
      <c r="G761" s="47"/>
      <c r="H761" s="102"/>
      <c r="I761" s="63"/>
      <c r="J761" t="str">
        <f>CONCATENATE(Tabla1[[#This Row],[OBRA]],"/",Tabla1[[#This Row],[CODIGO ENSAYO]])</f>
        <v>17-1/1-1</v>
      </c>
      <c r="K761" s="2" t="str">
        <f>UPPER(TEXT(Tabla1[[#This Row],[FECHA INF]],"MMMM"))</f>
        <v>JUNIO</v>
      </c>
      <c r="L76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0226-24</v>
      </c>
    </row>
    <row r="762" spans="1:12" x14ac:dyDescent="0.25">
      <c r="A762" s="52">
        <v>45504</v>
      </c>
      <c r="B762" s="27" t="s">
        <v>854</v>
      </c>
      <c r="C762" s="2" t="s">
        <v>1635</v>
      </c>
      <c r="D762" s="2">
        <v>2</v>
      </c>
      <c r="E762" s="27" t="s">
        <v>175</v>
      </c>
      <c r="F762" t="s">
        <v>390</v>
      </c>
      <c r="G762" s="47"/>
      <c r="H762" s="102"/>
      <c r="I762" s="63" t="s">
        <v>1005</v>
      </c>
      <c r="J762" t="str">
        <f>CONCATENATE(Tabla1[[#This Row],[OBRA]],"/",Tabla1[[#This Row],[CODIGO ENSAYO]])</f>
        <v>8-1/7-1</v>
      </c>
      <c r="K762" s="2" t="str">
        <f>UPPER(TEXT(Tabla1[[#This Row],[FECHA INF]],"MMMM"))</f>
        <v>JULIO</v>
      </c>
      <c r="L76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(Transporte del 22-29 de Julio de 2024)</v>
      </c>
    </row>
    <row r="763" spans="1:12" hidden="1" x14ac:dyDescent="0.25">
      <c r="A763" s="52">
        <v>45504</v>
      </c>
      <c r="B763" s="27" t="s">
        <v>148</v>
      </c>
      <c r="C763" s="2" t="s">
        <v>1566</v>
      </c>
      <c r="D763" s="2">
        <v>1</v>
      </c>
      <c r="E763" s="27" t="s">
        <v>159</v>
      </c>
      <c r="F763" t="s">
        <v>39</v>
      </c>
      <c r="G763" s="47"/>
      <c r="H763" s="102"/>
      <c r="I763" s="63"/>
      <c r="J763" t="str">
        <f>CONCATENATE(Tabla1[[#This Row],[OBRA]],"/",Tabla1[[#This Row],[CODIGO ENSAYO]])</f>
        <v>3-1/4-4</v>
      </c>
      <c r="K763" s="2" t="str">
        <f>UPPER(TEXT(Tabla1[[#This Row],[FECHA INF]],"MMMM"))</f>
        <v>JULIO</v>
      </c>
      <c r="L76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0175-24</v>
      </c>
    </row>
    <row r="764" spans="1:12" hidden="1" x14ac:dyDescent="0.25">
      <c r="A764" s="52">
        <v>45504</v>
      </c>
      <c r="B764" s="27" t="s">
        <v>148</v>
      </c>
      <c r="C764" s="2" t="s">
        <v>1567</v>
      </c>
      <c r="D764" s="2">
        <v>1</v>
      </c>
      <c r="E764" s="27" t="s">
        <v>162</v>
      </c>
      <c r="F764" t="s">
        <v>41</v>
      </c>
      <c r="G764" s="47"/>
      <c r="H764" s="102"/>
      <c r="I764" s="63"/>
      <c r="J764" t="str">
        <f>CONCATENATE(Tabla1[[#This Row],[OBRA]],"/",Tabla1[[#This Row],[CODIGO ENSAYO]])</f>
        <v>3-1/4-8</v>
      </c>
      <c r="K764" s="2" t="str">
        <f>UPPER(TEXT(Tabla1[[#This Row],[FECHA INF]],"MMMM"))</f>
        <v>JULIO</v>
      </c>
      <c r="L76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0176-24</v>
      </c>
    </row>
    <row r="765" spans="1:12" hidden="1" x14ac:dyDescent="0.25">
      <c r="A765" s="52">
        <v>45504</v>
      </c>
      <c r="B765" s="27" t="s">
        <v>148</v>
      </c>
      <c r="C765" s="2" t="s">
        <v>1568</v>
      </c>
      <c r="D765" s="2">
        <v>1</v>
      </c>
      <c r="E765" s="27" t="s">
        <v>162</v>
      </c>
      <c r="F765" t="s">
        <v>41</v>
      </c>
      <c r="G765" s="47"/>
      <c r="H765" s="102"/>
      <c r="I765" s="63"/>
      <c r="J765" t="str">
        <f>CONCATENATE(Tabla1[[#This Row],[OBRA]],"/",Tabla1[[#This Row],[CODIGO ENSAYO]])</f>
        <v>3-1/4-8</v>
      </c>
      <c r="K765" s="2" t="str">
        <f>UPPER(TEXT(Tabla1[[#This Row],[FECHA INF]],"MMMM"))</f>
        <v>JULIO</v>
      </c>
      <c r="L76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0177-24</v>
      </c>
    </row>
    <row r="766" spans="1:12" hidden="1" x14ac:dyDescent="0.25">
      <c r="A766" s="52">
        <v>45504</v>
      </c>
      <c r="B766" s="27" t="s">
        <v>522</v>
      </c>
      <c r="C766" s="2" t="s">
        <v>1639</v>
      </c>
      <c r="D766" s="2">
        <v>2</v>
      </c>
      <c r="E766" s="27" t="s">
        <v>123</v>
      </c>
      <c r="F766" t="s">
        <v>15</v>
      </c>
      <c r="G766" s="47"/>
      <c r="H766" s="102"/>
      <c r="I766" s="63"/>
      <c r="J766" t="str">
        <f>CONCATENATE(Tabla1[[#This Row],[OBRA]],"/",Tabla1[[#This Row],[CODIGO ENSAYO]])</f>
        <v>17-1/1-1</v>
      </c>
      <c r="K766" s="2" t="str">
        <f>UPPER(TEXT(Tabla1[[#This Row],[FECHA INF]],"MMMM"))</f>
        <v>JULIO</v>
      </c>
      <c r="L76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0227-24</v>
      </c>
    </row>
    <row r="767" spans="1:12" x14ac:dyDescent="0.25">
      <c r="A767" s="52">
        <v>45504</v>
      </c>
      <c r="B767" s="27" t="s">
        <v>854</v>
      </c>
      <c r="C767" s="2" t="s">
        <v>1626</v>
      </c>
      <c r="D767" s="2">
        <v>3</v>
      </c>
      <c r="E767" s="27" t="s">
        <v>123</v>
      </c>
      <c r="F767" t="s">
        <v>15</v>
      </c>
      <c r="G767" s="47"/>
      <c r="H767" s="102"/>
      <c r="I767" s="63" t="s">
        <v>1005</v>
      </c>
      <c r="J767" t="str">
        <f>CONCATENATE(Tabla1[[#This Row],[OBRA]],"/",Tabla1[[#This Row],[CODIGO ENSAYO]])</f>
        <v>8-1/1-1</v>
      </c>
      <c r="K767" s="2" t="str">
        <f>UPPER(TEXT(Tabla1[[#This Row],[FECHA INF]],"MMMM"))</f>
        <v>JULIO</v>
      </c>
      <c r="L76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0228-24</v>
      </c>
    </row>
    <row r="768" spans="1:12" hidden="1" x14ac:dyDescent="0.25">
      <c r="A768" s="52">
        <v>45504</v>
      </c>
      <c r="B768" s="27" t="s">
        <v>522</v>
      </c>
      <c r="C768" s="2" t="s">
        <v>1640</v>
      </c>
      <c r="D768" s="2">
        <v>5</v>
      </c>
      <c r="E768" s="27" t="s">
        <v>123</v>
      </c>
      <c r="F768" t="s">
        <v>15</v>
      </c>
      <c r="G768" s="47"/>
      <c r="H768" s="102"/>
      <c r="I768" s="63"/>
      <c r="J768" t="str">
        <f>CONCATENATE(Tabla1[[#This Row],[OBRA]],"/",Tabla1[[#This Row],[CODIGO ENSAYO]])</f>
        <v>17-1/1-1</v>
      </c>
      <c r="K768" s="2" t="str">
        <f>UPPER(TEXT(Tabla1[[#This Row],[FECHA INF]],"MMMM"))</f>
        <v>JULIO</v>
      </c>
      <c r="L76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0229-24</v>
      </c>
    </row>
    <row r="769" spans="1:12" hidden="1" x14ac:dyDescent="0.25">
      <c r="A769" s="52">
        <v>45504</v>
      </c>
      <c r="B769" s="27" t="s">
        <v>522</v>
      </c>
      <c r="C769" s="2" t="s">
        <v>1641</v>
      </c>
      <c r="D769" s="2">
        <v>5</v>
      </c>
      <c r="E769" s="27" t="s">
        <v>123</v>
      </c>
      <c r="F769" t="s">
        <v>15</v>
      </c>
      <c r="G769" s="47"/>
      <c r="H769" s="102"/>
      <c r="I769" s="63"/>
      <c r="J769" t="str">
        <f>CONCATENATE(Tabla1[[#This Row],[OBRA]],"/",Tabla1[[#This Row],[CODIGO ENSAYO]])</f>
        <v>17-1/1-1</v>
      </c>
      <c r="K769" s="2" t="str">
        <f>UPPER(TEXT(Tabla1[[#This Row],[FECHA INF]],"MMMM"))</f>
        <v>JULIO</v>
      </c>
      <c r="L76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0230-24</v>
      </c>
    </row>
    <row r="770" spans="1:12" x14ac:dyDescent="0.25">
      <c r="A770" s="52">
        <v>45504</v>
      </c>
      <c r="B770" s="27" t="s">
        <v>854</v>
      </c>
      <c r="C770" s="2" t="s">
        <v>1627</v>
      </c>
      <c r="D770" s="2">
        <v>3</v>
      </c>
      <c r="E770" s="27" t="s">
        <v>123</v>
      </c>
      <c r="F770" t="s">
        <v>15</v>
      </c>
      <c r="G770" s="47"/>
      <c r="H770" s="102"/>
      <c r="I770" s="63" t="s">
        <v>1005</v>
      </c>
      <c r="J770" t="str">
        <f>CONCATENATE(Tabla1[[#This Row],[OBRA]],"/",Tabla1[[#This Row],[CODIGO ENSAYO]])</f>
        <v>8-1/1-1</v>
      </c>
      <c r="K770" s="2" t="str">
        <f>UPPER(TEXT(Tabla1[[#This Row],[FECHA INF]],"MMMM"))</f>
        <v>JULIO</v>
      </c>
      <c r="L77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0231-24</v>
      </c>
    </row>
    <row r="771" spans="1:12" hidden="1" x14ac:dyDescent="0.25">
      <c r="A771" s="52">
        <v>45504</v>
      </c>
      <c r="B771" s="27" t="s">
        <v>522</v>
      </c>
      <c r="C771" s="2" t="s">
        <v>1642</v>
      </c>
      <c r="D771" s="2">
        <v>8</v>
      </c>
      <c r="E771" s="27" t="s">
        <v>123</v>
      </c>
      <c r="F771" t="s">
        <v>15</v>
      </c>
      <c r="G771" s="47"/>
      <c r="H771" s="102"/>
      <c r="I771" s="63"/>
      <c r="J771" t="str">
        <f>CONCATENATE(Tabla1[[#This Row],[OBRA]],"/",Tabla1[[#This Row],[CODIGO ENSAYO]])</f>
        <v>17-1/1-1</v>
      </c>
      <c r="K771" s="2" t="str">
        <f>UPPER(TEXT(Tabla1[[#This Row],[FECHA INF]],"MMMM"))</f>
        <v>JULIO</v>
      </c>
      <c r="L77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0232-24</v>
      </c>
    </row>
    <row r="772" spans="1:12" x14ac:dyDescent="0.25">
      <c r="A772" s="52">
        <v>45504</v>
      </c>
      <c r="B772" s="27" t="s">
        <v>854</v>
      </c>
      <c r="C772" s="2" t="s">
        <v>1628</v>
      </c>
      <c r="D772" s="2">
        <v>6</v>
      </c>
      <c r="E772" s="27" t="s">
        <v>123</v>
      </c>
      <c r="F772" t="s">
        <v>15</v>
      </c>
      <c r="G772" s="47"/>
      <c r="H772" s="102"/>
      <c r="I772" s="63" t="s">
        <v>1005</v>
      </c>
      <c r="J772" t="str">
        <f>CONCATENATE(Tabla1[[#This Row],[OBRA]],"/",Tabla1[[#This Row],[CODIGO ENSAYO]])</f>
        <v>8-1/1-1</v>
      </c>
      <c r="K772" s="2" t="str">
        <f>UPPER(TEXT(Tabla1[[#This Row],[FECHA INF]],"MMMM"))</f>
        <v>JULIO</v>
      </c>
      <c r="L77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0233-24</v>
      </c>
    </row>
    <row r="773" spans="1:12" hidden="1" x14ac:dyDescent="0.25">
      <c r="A773" s="52">
        <v>45504</v>
      </c>
      <c r="B773" s="27" t="s">
        <v>522</v>
      </c>
      <c r="C773" s="2" t="s">
        <v>1643</v>
      </c>
      <c r="D773" s="2">
        <v>2</v>
      </c>
      <c r="E773" s="27" t="s">
        <v>123</v>
      </c>
      <c r="F773" t="s">
        <v>15</v>
      </c>
      <c r="G773" s="47"/>
      <c r="H773" s="102"/>
      <c r="I773" s="63"/>
      <c r="J773" t="str">
        <f>CONCATENATE(Tabla1[[#This Row],[OBRA]],"/",Tabla1[[#This Row],[CODIGO ENSAYO]])</f>
        <v>17-1/1-1</v>
      </c>
      <c r="K773" s="2" t="str">
        <f>UPPER(TEXT(Tabla1[[#This Row],[FECHA INF]],"MMMM"))</f>
        <v>JULIO</v>
      </c>
      <c r="L77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0234-24</v>
      </c>
    </row>
    <row r="774" spans="1:12" hidden="1" x14ac:dyDescent="0.25">
      <c r="A774" s="52">
        <v>45504</v>
      </c>
      <c r="B774" s="27" t="s">
        <v>522</v>
      </c>
      <c r="C774" s="2" t="s">
        <v>1644</v>
      </c>
      <c r="D774" s="2">
        <v>2</v>
      </c>
      <c r="E774" s="27" t="s">
        <v>123</v>
      </c>
      <c r="F774" t="s">
        <v>15</v>
      </c>
      <c r="G774" s="47"/>
      <c r="H774" s="102"/>
      <c r="I774" s="63"/>
      <c r="J774" t="str">
        <f>CONCATENATE(Tabla1[[#This Row],[OBRA]],"/",Tabla1[[#This Row],[CODIGO ENSAYO]])</f>
        <v>17-1/1-1</v>
      </c>
      <c r="K774" s="2" t="str">
        <f>UPPER(TEXT(Tabla1[[#This Row],[FECHA INF]],"MMMM"))</f>
        <v>JULIO</v>
      </c>
      <c r="L77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0235-24</v>
      </c>
    </row>
    <row r="775" spans="1:12" x14ac:dyDescent="0.25">
      <c r="A775" s="52">
        <v>45504</v>
      </c>
      <c r="B775" s="27" t="s">
        <v>854</v>
      </c>
      <c r="C775" s="2" t="s">
        <v>1629</v>
      </c>
      <c r="D775" s="2">
        <v>3</v>
      </c>
      <c r="E775" s="27" t="s">
        <v>123</v>
      </c>
      <c r="F775" t="s">
        <v>15</v>
      </c>
      <c r="G775" s="47"/>
      <c r="H775" s="102"/>
      <c r="I775" s="63" t="s">
        <v>1005</v>
      </c>
      <c r="J775" t="str">
        <f>CONCATENATE(Tabla1[[#This Row],[OBRA]],"/",Tabla1[[#This Row],[CODIGO ENSAYO]])</f>
        <v>8-1/1-1</v>
      </c>
      <c r="K775" s="2" t="str">
        <f>UPPER(TEXT(Tabla1[[#This Row],[FECHA INF]],"MMMM"))</f>
        <v>JULIO</v>
      </c>
      <c r="L77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0236-24</v>
      </c>
    </row>
    <row r="776" spans="1:12" hidden="1" x14ac:dyDescent="0.25">
      <c r="A776" s="52">
        <v>45504</v>
      </c>
      <c r="B776" s="27" t="s">
        <v>522</v>
      </c>
      <c r="C776" s="2" t="s">
        <v>1645</v>
      </c>
      <c r="D776" s="2">
        <v>6</v>
      </c>
      <c r="E776" s="27" t="s">
        <v>123</v>
      </c>
      <c r="F776" t="s">
        <v>15</v>
      </c>
      <c r="G776" s="47"/>
      <c r="H776" s="102"/>
      <c r="I776" s="63"/>
      <c r="J776" t="str">
        <f>CONCATENATE(Tabla1[[#This Row],[OBRA]],"/",Tabla1[[#This Row],[CODIGO ENSAYO]])</f>
        <v>17-1/1-1</v>
      </c>
      <c r="K776" s="2" t="str">
        <f>UPPER(TEXT(Tabla1[[#This Row],[FECHA INF]],"MMMM"))</f>
        <v>JULIO</v>
      </c>
      <c r="L77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0238-24</v>
      </c>
    </row>
    <row r="777" spans="1:12" x14ac:dyDescent="0.25">
      <c r="A777" s="52">
        <v>45504</v>
      </c>
      <c r="B777" s="27" t="s">
        <v>854</v>
      </c>
      <c r="C777" s="2" t="s">
        <v>1630</v>
      </c>
      <c r="D777" s="2">
        <v>3</v>
      </c>
      <c r="E777" s="27" t="s">
        <v>123</v>
      </c>
      <c r="F777" t="s">
        <v>15</v>
      </c>
      <c r="G777" s="47"/>
      <c r="H777" s="102"/>
      <c r="I777" s="63" t="s">
        <v>1005</v>
      </c>
      <c r="J777" t="str">
        <f>CONCATENATE(Tabla1[[#This Row],[OBRA]],"/",Tabla1[[#This Row],[CODIGO ENSAYO]])</f>
        <v>8-1/1-1</v>
      </c>
      <c r="K777" s="2" t="str">
        <f>UPPER(TEXT(Tabla1[[#This Row],[FECHA INF]],"MMMM"))</f>
        <v>JULIO</v>
      </c>
      <c r="L77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0239-24</v>
      </c>
    </row>
    <row r="778" spans="1:12" hidden="1" x14ac:dyDescent="0.25">
      <c r="A778" s="52">
        <v>45504</v>
      </c>
      <c r="B778" s="27" t="s">
        <v>148</v>
      </c>
      <c r="C778" s="2" t="s">
        <v>1623</v>
      </c>
      <c r="D778" s="2">
        <v>2</v>
      </c>
      <c r="E778" s="27" t="s">
        <v>123</v>
      </c>
      <c r="F778" t="s">
        <v>15</v>
      </c>
      <c r="G778" s="47"/>
      <c r="H778" s="102"/>
      <c r="I778" s="63"/>
      <c r="J778" t="str">
        <f>CONCATENATE(Tabla1[[#This Row],[OBRA]],"/",Tabla1[[#This Row],[CODIGO ENSAYO]])</f>
        <v>3-1/1-1</v>
      </c>
      <c r="K778" s="2" t="str">
        <f>UPPER(TEXT(Tabla1[[#This Row],[FECHA INF]],"MMMM"))</f>
        <v>JULIO</v>
      </c>
      <c r="L77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0240-24</v>
      </c>
    </row>
    <row r="779" spans="1:12" hidden="1" x14ac:dyDescent="0.25">
      <c r="A779" s="52">
        <v>45504</v>
      </c>
      <c r="B779" s="27" t="s">
        <v>148</v>
      </c>
      <c r="C779" s="2" t="s">
        <v>1624</v>
      </c>
      <c r="D779" s="2">
        <v>3</v>
      </c>
      <c r="E779" s="27" t="s">
        <v>123</v>
      </c>
      <c r="F779" t="s">
        <v>15</v>
      </c>
      <c r="G779" s="47"/>
      <c r="H779" s="102"/>
      <c r="I779" s="63"/>
      <c r="J779" t="str">
        <f>CONCATENATE(Tabla1[[#This Row],[OBRA]],"/",Tabla1[[#This Row],[CODIGO ENSAYO]])</f>
        <v>3-1/1-1</v>
      </c>
      <c r="K779" s="2" t="str">
        <f>UPPER(TEXT(Tabla1[[#This Row],[FECHA INF]],"MMMM"))</f>
        <v>JULIO</v>
      </c>
      <c r="L77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0241-24</v>
      </c>
    </row>
    <row r="780" spans="1:12" hidden="1" x14ac:dyDescent="0.25">
      <c r="A780" s="52">
        <v>45504</v>
      </c>
      <c r="B780" s="27" t="s">
        <v>522</v>
      </c>
      <c r="C780" s="2" t="s">
        <v>1646</v>
      </c>
      <c r="D780" s="2">
        <v>3</v>
      </c>
      <c r="E780" s="27" t="s">
        <v>123</v>
      </c>
      <c r="F780" t="s">
        <v>15</v>
      </c>
      <c r="G780" s="47"/>
      <c r="H780" s="102"/>
      <c r="I780" s="63"/>
      <c r="J780" t="str">
        <f>CONCATENATE(Tabla1[[#This Row],[OBRA]],"/",Tabla1[[#This Row],[CODIGO ENSAYO]])</f>
        <v>17-1/1-1</v>
      </c>
      <c r="K780" s="2" t="str">
        <f>UPPER(TEXT(Tabla1[[#This Row],[FECHA INF]],"MMMM"))</f>
        <v>JULIO</v>
      </c>
      <c r="L78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0242-24</v>
      </c>
    </row>
    <row r="781" spans="1:12" x14ac:dyDescent="0.25">
      <c r="A781" s="52">
        <v>45504</v>
      </c>
      <c r="B781" s="27" t="s">
        <v>854</v>
      </c>
      <c r="C781" s="2" t="s">
        <v>1631</v>
      </c>
      <c r="D781" s="2">
        <v>3</v>
      </c>
      <c r="E781" s="27" t="s">
        <v>123</v>
      </c>
      <c r="F781" t="s">
        <v>15</v>
      </c>
      <c r="G781" s="47"/>
      <c r="H781" s="102"/>
      <c r="I781" s="63" t="s">
        <v>1005</v>
      </c>
      <c r="J781" t="str">
        <f>CONCATENATE(Tabla1[[#This Row],[OBRA]],"/",Tabla1[[#This Row],[CODIGO ENSAYO]])</f>
        <v>8-1/1-1</v>
      </c>
      <c r="K781" s="2" t="str">
        <f>UPPER(TEXT(Tabla1[[#This Row],[FECHA INF]],"MMMM"))</f>
        <v>JULIO</v>
      </c>
      <c r="L78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0243-24</v>
      </c>
    </row>
    <row r="782" spans="1:12" hidden="1" x14ac:dyDescent="0.25">
      <c r="A782" s="52">
        <v>45504</v>
      </c>
      <c r="B782" s="27" t="s">
        <v>148</v>
      </c>
      <c r="C782" s="2" t="s">
        <v>1625</v>
      </c>
      <c r="D782" s="2">
        <v>2</v>
      </c>
      <c r="E782" s="27" t="s">
        <v>123</v>
      </c>
      <c r="F782" t="s">
        <v>15</v>
      </c>
      <c r="G782" s="47"/>
      <c r="H782" s="102"/>
      <c r="I782" s="63"/>
      <c r="J782" t="str">
        <f>CONCATENATE(Tabla1[[#This Row],[OBRA]],"/",Tabla1[[#This Row],[CODIGO ENSAYO]])</f>
        <v>3-1/1-1</v>
      </c>
      <c r="K782" s="2" t="str">
        <f>UPPER(TEXT(Tabla1[[#This Row],[FECHA INF]],"MMMM"))</f>
        <v>JULIO</v>
      </c>
      <c r="L78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0244-24</v>
      </c>
    </row>
    <row r="783" spans="1:12" hidden="1" x14ac:dyDescent="0.25">
      <c r="A783" s="52">
        <v>45504</v>
      </c>
      <c r="B783" s="27" t="s">
        <v>522</v>
      </c>
      <c r="C783" s="2" t="s">
        <v>1647</v>
      </c>
      <c r="D783" s="2">
        <v>12</v>
      </c>
      <c r="E783" s="27" t="s">
        <v>123</v>
      </c>
      <c r="F783" t="s">
        <v>15</v>
      </c>
      <c r="G783" s="47"/>
      <c r="H783" s="102"/>
      <c r="I783" s="63"/>
      <c r="J783" t="str">
        <f>CONCATENATE(Tabla1[[#This Row],[OBRA]],"/",Tabla1[[#This Row],[CODIGO ENSAYO]])</f>
        <v>17-1/1-1</v>
      </c>
      <c r="K783" s="2" t="str">
        <f>UPPER(TEXT(Tabla1[[#This Row],[FECHA INF]],"MMMM"))</f>
        <v>JULIO</v>
      </c>
      <c r="L78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0245-24</v>
      </c>
    </row>
    <row r="784" spans="1:12" hidden="1" x14ac:dyDescent="0.25">
      <c r="A784" s="52">
        <v>45504</v>
      </c>
      <c r="B784" s="27" t="s">
        <v>522</v>
      </c>
      <c r="C784" s="2" t="s">
        <v>1636</v>
      </c>
      <c r="D784" s="2">
        <v>1</v>
      </c>
      <c r="E784" s="27" t="s">
        <v>140</v>
      </c>
      <c r="F784" t="s">
        <v>469</v>
      </c>
      <c r="G784" s="47"/>
      <c r="H784" s="102"/>
      <c r="I784" s="63"/>
      <c r="J784" t="str">
        <f>CONCATENATE(Tabla1[[#This Row],[OBRA]],"/",Tabla1[[#This Row],[CODIGO ENSAYO]])</f>
        <v>17-1/2-4</v>
      </c>
      <c r="K784" s="2" t="str">
        <f>UPPER(TEXT(Tabla1[[#This Row],[FECHA INF]],"MMMM"))</f>
        <v>JULIO</v>
      </c>
      <c r="L78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0246-24</v>
      </c>
    </row>
    <row r="785" spans="1:12" hidden="1" x14ac:dyDescent="0.25">
      <c r="A785" s="52">
        <v>45504</v>
      </c>
      <c r="B785" s="27" t="s">
        <v>522</v>
      </c>
      <c r="C785" s="2" t="s">
        <v>1637</v>
      </c>
      <c r="D785" s="2">
        <v>3</v>
      </c>
      <c r="E785" s="27" t="s">
        <v>141</v>
      </c>
      <c r="F785" t="s">
        <v>437</v>
      </c>
      <c r="G785" s="47"/>
      <c r="H785" s="102"/>
      <c r="I785" s="63"/>
      <c r="J785" t="str">
        <f>CONCATENATE(Tabla1[[#This Row],[OBRA]],"/",Tabla1[[#This Row],[CODIGO ENSAYO]])</f>
        <v>17-1/2-5</v>
      </c>
      <c r="K785" s="2" t="str">
        <f>UPPER(TEXT(Tabla1[[#This Row],[FECHA INF]],"MMMM"))</f>
        <v>JULIO</v>
      </c>
      <c r="L78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0247-24</v>
      </c>
    </row>
    <row r="786" spans="1:12" hidden="1" x14ac:dyDescent="0.25">
      <c r="A786" s="52">
        <v>45504</v>
      </c>
      <c r="B786" s="27" t="s">
        <v>522</v>
      </c>
      <c r="C786" s="2" t="s">
        <v>1638</v>
      </c>
      <c r="D786" s="2">
        <v>3</v>
      </c>
      <c r="E786" s="27" t="s">
        <v>141</v>
      </c>
      <c r="F786" t="s">
        <v>437</v>
      </c>
      <c r="G786" s="47"/>
      <c r="H786" s="102"/>
      <c r="I786" s="63"/>
      <c r="J786" t="str">
        <f>CONCATENATE(Tabla1[[#This Row],[OBRA]],"/",Tabla1[[#This Row],[CODIGO ENSAYO]])</f>
        <v>17-1/2-5</v>
      </c>
      <c r="K786" s="2" t="str">
        <f>UPPER(TEXT(Tabla1[[#This Row],[FECHA INF]],"MMMM"))</f>
        <v>JULIO</v>
      </c>
      <c r="L78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0248-24</v>
      </c>
    </row>
    <row r="787" spans="1:12" hidden="1" x14ac:dyDescent="0.25">
      <c r="A787" s="52">
        <v>45504</v>
      </c>
      <c r="B787" s="27" t="s">
        <v>148</v>
      </c>
      <c r="C787" s="2" t="s">
        <v>1622</v>
      </c>
      <c r="D787" s="2">
        <v>1</v>
      </c>
      <c r="E787" s="27" t="s">
        <v>123</v>
      </c>
      <c r="F787" t="s">
        <v>15</v>
      </c>
      <c r="G787" s="47"/>
      <c r="H787" s="102"/>
      <c r="I787" s="63"/>
      <c r="J787" t="str">
        <f>CONCATENATE(Tabla1[[#This Row],[OBRA]],"/",Tabla1[[#This Row],[CODIGO ENSAYO]])</f>
        <v>3-1/1-1</v>
      </c>
      <c r="K787" s="2" t="str">
        <f>UPPER(TEXT(Tabla1[[#This Row],[FECHA INF]],"MMMM"))</f>
        <v>JULIO</v>
      </c>
      <c r="L78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0249-24</v>
      </c>
    </row>
    <row r="788" spans="1:12" x14ac:dyDescent="0.25">
      <c r="A788" s="52">
        <v>45504</v>
      </c>
      <c r="B788" s="27" t="s">
        <v>854</v>
      </c>
      <c r="C788" s="2" t="s">
        <v>1632</v>
      </c>
      <c r="D788" s="2">
        <v>6</v>
      </c>
      <c r="E788" s="27" t="s">
        <v>123</v>
      </c>
      <c r="F788" t="s">
        <v>15</v>
      </c>
      <c r="G788" s="47"/>
      <c r="H788" s="102"/>
      <c r="I788" s="63" t="s">
        <v>1005</v>
      </c>
      <c r="J788" t="str">
        <f>CONCATENATE(Tabla1[[#This Row],[OBRA]],"/",Tabla1[[#This Row],[CODIGO ENSAYO]])</f>
        <v>8-1/1-1</v>
      </c>
      <c r="K788" s="2" t="str">
        <f>UPPER(TEXT(Tabla1[[#This Row],[FECHA INF]],"MMMM"))</f>
        <v>JULIO</v>
      </c>
      <c r="L78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0250-24</v>
      </c>
    </row>
    <row r="789" spans="1:12" hidden="1" x14ac:dyDescent="0.25">
      <c r="A789" s="52">
        <v>45504</v>
      </c>
      <c r="B789" s="27" t="s">
        <v>522</v>
      </c>
      <c r="C789" s="2" t="s">
        <v>1648</v>
      </c>
      <c r="D789" s="2">
        <v>1</v>
      </c>
      <c r="E789" s="27" t="s">
        <v>123</v>
      </c>
      <c r="F789" t="s">
        <v>15</v>
      </c>
      <c r="G789" s="47"/>
      <c r="H789" s="102"/>
      <c r="I789" s="63"/>
      <c r="J789" t="str">
        <f>CONCATENATE(Tabla1[[#This Row],[OBRA]],"/",Tabla1[[#This Row],[CODIGO ENSAYO]])</f>
        <v>17-1/1-1</v>
      </c>
      <c r="K789" s="2" t="str">
        <f>UPPER(TEXT(Tabla1[[#This Row],[FECHA INF]],"MMMM"))</f>
        <v>JULIO</v>
      </c>
      <c r="L78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0251-24</v>
      </c>
    </row>
    <row r="790" spans="1:12" x14ac:dyDescent="0.25">
      <c r="A790" s="52">
        <v>45504</v>
      </c>
      <c r="B790" s="27" t="s">
        <v>854</v>
      </c>
      <c r="C790" s="2" t="s">
        <v>1633</v>
      </c>
      <c r="D790" s="2">
        <v>3</v>
      </c>
      <c r="E790" s="27" t="s">
        <v>123</v>
      </c>
      <c r="F790" t="s">
        <v>15</v>
      </c>
      <c r="G790" s="47"/>
      <c r="H790" s="102"/>
      <c r="I790" s="63" t="s">
        <v>1005</v>
      </c>
      <c r="J790" t="str">
        <f>CONCATENATE(Tabla1[[#This Row],[OBRA]],"/",Tabla1[[#This Row],[CODIGO ENSAYO]])</f>
        <v>8-1/1-1</v>
      </c>
      <c r="K790" s="2" t="str">
        <f>UPPER(TEXT(Tabla1[[#This Row],[FECHA INF]],"MMMM"))</f>
        <v>JULIO</v>
      </c>
      <c r="L79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0252-24</v>
      </c>
    </row>
    <row r="791" spans="1:12" hidden="1" x14ac:dyDescent="0.25">
      <c r="A791" s="52">
        <v>45504</v>
      </c>
      <c r="B791" s="27" t="s">
        <v>522</v>
      </c>
      <c r="C791" s="2" t="s">
        <v>1649</v>
      </c>
      <c r="D791" s="2">
        <v>3</v>
      </c>
      <c r="E791" s="27" t="s">
        <v>123</v>
      </c>
      <c r="F791" t="s">
        <v>15</v>
      </c>
      <c r="G791" s="47"/>
      <c r="H791" s="102"/>
      <c r="I791" s="63"/>
      <c r="J791" t="str">
        <f>CONCATENATE(Tabla1[[#This Row],[OBRA]],"/",Tabla1[[#This Row],[CODIGO ENSAYO]])</f>
        <v>17-1/1-1</v>
      </c>
      <c r="K791" s="2" t="str">
        <f>UPPER(TEXT(Tabla1[[#This Row],[FECHA INF]],"MMMM"))</f>
        <v>JULIO</v>
      </c>
      <c r="L79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0253-24</v>
      </c>
    </row>
    <row r="792" spans="1:12" x14ac:dyDescent="0.25">
      <c r="A792" s="52">
        <v>45504</v>
      </c>
      <c r="B792" s="27" t="s">
        <v>854</v>
      </c>
      <c r="C792" s="2" t="s">
        <v>1634</v>
      </c>
      <c r="D792" s="2">
        <v>6</v>
      </c>
      <c r="E792" s="27" t="s">
        <v>123</v>
      </c>
      <c r="F792" t="s">
        <v>15</v>
      </c>
      <c r="G792" s="47"/>
      <c r="H792" s="102"/>
      <c r="I792" s="63" t="s">
        <v>1005</v>
      </c>
      <c r="J792" t="str">
        <f>CONCATENATE(Tabla1[[#This Row],[OBRA]],"/",Tabla1[[#This Row],[CODIGO ENSAYO]])</f>
        <v>8-1/1-1</v>
      </c>
      <c r="K792" s="2" t="str">
        <f>UPPER(TEXT(Tabla1[[#This Row],[FECHA INF]],"MMMM"))</f>
        <v>JULIO</v>
      </c>
      <c r="L79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0254-24</v>
      </c>
    </row>
    <row r="793" spans="1:12" hidden="1" x14ac:dyDescent="0.25">
      <c r="A793" s="52">
        <v>45504</v>
      </c>
      <c r="B793" s="27" t="s">
        <v>522</v>
      </c>
      <c r="C793" s="2" t="s">
        <v>1650</v>
      </c>
      <c r="D793" s="2">
        <v>21</v>
      </c>
      <c r="E793" s="27" t="s">
        <v>123</v>
      </c>
      <c r="F793" t="s">
        <v>15</v>
      </c>
      <c r="G793" s="47"/>
      <c r="H793" s="102"/>
      <c r="I793" s="63"/>
      <c r="J793" t="str">
        <f>CONCATENATE(Tabla1[[#This Row],[OBRA]],"/",Tabla1[[#This Row],[CODIGO ENSAYO]])</f>
        <v>17-1/1-1</v>
      </c>
      <c r="K793" s="2" t="str">
        <f>UPPER(TEXT(Tabla1[[#This Row],[FECHA INF]],"MMMM"))</f>
        <v>JULIO</v>
      </c>
      <c r="L79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0255-24</v>
      </c>
    </row>
    <row r="794" spans="1:12" hidden="1" x14ac:dyDescent="0.25">
      <c r="A794" s="52">
        <v>45504</v>
      </c>
      <c r="B794" s="27" t="s">
        <v>148</v>
      </c>
      <c r="C794" s="2" t="s">
        <v>1620</v>
      </c>
      <c r="D794" s="2">
        <v>1</v>
      </c>
      <c r="E794" s="27" t="s">
        <v>143</v>
      </c>
      <c r="F794" t="s">
        <v>467</v>
      </c>
      <c r="G794" s="47"/>
      <c r="H794" s="102"/>
      <c r="I794" s="63"/>
      <c r="J794" t="str">
        <f>CONCATENATE(Tabla1[[#This Row],[OBRA]],"/",Tabla1[[#This Row],[CODIGO ENSAYO]])</f>
        <v>3-1/2-7</v>
      </c>
      <c r="K794" s="2" t="str">
        <f>UPPER(TEXT(Tabla1[[#This Row],[FECHA INF]],"MMMM"))</f>
        <v>JULIO</v>
      </c>
      <c r="L79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0256-24</v>
      </c>
    </row>
    <row r="795" spans="1:12" hidden="1" x14ac:dyDescent="0.25">
      <c r="A795" s="52">
        <v>45504</v>
      </c>
      <c r="B795" s="27" t="s">
        <v>148</v>
      </c>
      <c r="C795" s="2" t="s">
        <v>1621</v>
      </c>
      <c r="D795" s="2">
        <v>1</v>
      </c>
      <c r="E795" s="27" t="s">
        <v>138</v>
      </c>
      <c r="F795" t="s">
        <v>23</v>
      </c>
      <c r="G795" s="47"/>
      <c r="H795" s="102"/>
      <c r="I795" s="63"/>
      <c r="J795" t="str">
        <f>CONCATENATE(Tabla1[[#This Row],[OBRA]],"/",Tabla1[[#This Row],[CODIGO ENSAYO]])</f>
        <v>3-1/2-2</v>
      </c>
      <c r="K795" s="2" t="str">
        <f>UPPER(TEXT(Tabla1[[#This Row],[FECHA INF]],"MMMM"))</f>
        <v>JULIO</v>
      </c>
      <c r="L79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0257-24</v>
      </c>
    </row>
    <row r="796" spans="1:12" hidden="1" x14ac:dyDescent="0.25">
      <c r="A796" s="52">
        <v>45504</v>
      </c>
      <c r="B796" s="27" t="s">
        <v>148</v>
      </c>
      <c r="C796" s="2" t="s">
        <v>1621</v>
      </c>
      <c r="D796" s="2">
        <v>1</v>
      </c>
      <c r="E796" s="27" t="s">
        <v>139</v>
      </c>
      <c r="F796" t="s">
        <v>468</v>
      </c>
      <c r="G796" s="47"/>
      <c r="H796" s="102"/>
      <c r="I796" s="63"/>
      <c r="J796" t="str">
        <f>CONCATENATE(Tabla1[[#This Row],[OBRA]],"/",Tabla1[[#This Row],[CODIGO ENSAYO]])</f>
        <v>3-1/2-3</v>
      </c>
      <c r="K796" s="2" t="str">
        <f>UPPER(TEXT(Tabla1[[#This Row],[FECHA INF]],"MMMM"))</f>
        <v>JULIO</v>
      </c>
      <c r="L79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0257-24</v>
      </c>
    </row>
    <row r="797" spans="1:12" hidden="1" x14ac:dyDescent="0.25">
      <c r="A797" s="52">
        <v>45504</v>
      </c>
      <c r="B797" s="27" t="s">
        <v>148</v>
      </c>
      <c r="C797" s="2" t="s">
        <v>1621</v>
      </c>
      <c r="D797" s="2">
        <v>1</v>
      </c>
      <c r="E797" s="27" t="s">
        <v>156</v>
      </c>
      <c r="F797" t="s">
        <v>35</v>
      </c>
      <c r="G797" s="47"/>
      <c r="H797" s="102"/>
      <c r="I797" s="63"/>
      <c r="J797" t="str">
        <f>CONCATENATE(Tabla1[[#This Row],[OBRA]],"/",Tabla1[[#This Row],[CODIGO ENSAYO]])</f>
        <v>3-1/4-1</v>
      </c>
      <c r="K797" s="2" t="str">
        <f>UPPER(TEXT(Tabla1[[#This Row],[FECHA INF]],"MMMM"))</f>
        <v>JULIO</v>
      </c>
      <c r="L79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0257-24</v>
      </c>
    </row>
    <row r="798" spans="1:12" hidden="1" x14ac:dyDescent="0.25">
      <c r="A798" s="52">
        <v>45504</v>
      </c>
      <c r="B798" s="27" t="s">
        <v>522</v>
      </c>
      <c r="C798" s="2" t="s">
        <v>1651</v>
      </c>
      <c r="D798" s="2">
        <v>2</v>
      </c>
      <c r="E798" s="27" t="s">
        <v>123</v>
      </c>
      <c r="F798" t="s">
        <v>15</v>
      </c>
      <c r="G798" s="47"/>
      <c r="H798" s="102"/>
      <c r="I798" s="63"/>
      <c r="J798" t="str">
        <f>CONCATENATE(Tabla1[[#This Row],[OBRA]],"/",Tabla1[[#This Row],[CODIGO ENSAYO]])</f>
        <v>17-1/1-1</v>
      </c>
      <c r="K798" s="2" t="str">
        <f>UPPER(TEXT(Tabla1[[#This Row],[FECHA INF]],"MMMM"))</f>
        <v>JULIO</v>
      </c>
      <c r="L79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0258-24</v>
      </c>
    </row>
    <row r="799" spans="1:12" hidden="1" x14ac:dyDescent="0.25">
      <c r="A799" s="52">
        <v>45504</v>
      </c>
      <c r="B799" s="27" t="s">
        <v>522</v>
      </c>
      <c r="C799" s="2" t="s">
        <v>1652</v>
      </c>
      <c r="D799" s="2">
        <v>2</v>
      </c>
      <c r="E799" s="27" t="s">
        <v>123</v>
      </c>
      <c r="F799" t="s">
        <v>15</v>
      </c>
      <c r="G799" s="47"/>
      <c r="H799" s="102"/>
      <c r="I799" s="63"/>
      <c r="J799" t="str">
        <f>CONCATENATE(Tabla1[[#This Row],[OBRA]],"/",Tabla1[[#This Row],[CODIGO ENSAYO]])</f>
        <v>17-1/1-1</v>
      </c>
      <c r="K799" s="2" t="str">
        <f>UPPER(TEXT(Tabla1[[#This Row],[FECHA INF]],"MMMM"))</f>
        <v>JULIO</v>
      </c>
      <c r="L79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0259-24</v>
      </c>
    </row>
    <row r="800" spans="1:12" hidden="1" x14ac:dyDescent="0.25">
      <c r="A800" s="52">
        <v>45504</v>
      </c>
      <c r="B800" s="27" t="s">
        <v>522</v>
      </c>
      <c r="C800" s="2" t="s">
        <v>1653</v>
      </c>
      <c r="D800" s="2">
        <v>5</v>
      </c>
      <c r="E800" s="27" t="s">
        <v>175</v>
      </c>
      <c r="F800" t="s">
        <v>390</v>
      </c>
      <c r="G800" s="47"/>
      <c r="H800" s="102"/>
      <c r="I800" s="63"/>
      <c r="J800" t="str">
        <f>CONCATENATE(Tabla1[[#This Row],[OBRA]],"/",Tabla1[[#This Row],[CODIGO ENSAYO]])</f>
        <v>17-1/7-1</v>
      </c>
      <c r="K800" s="2" t="str">
        <f>UPPER(TEXT(Tabla1[[#This Row],[FECHA INF]],"MMMM"))</f>
        <v>JULIO</v>
      </c>
      <c r="L80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 xml:space="preserve">Transporte 03-15-22-29 de Julio de 2024  y Transporte para toma de densidades el 15 de Julio de 2024 </v>
      </c>
    </row>
    <row r="801" spans="1:12" hidden="1" x14ac:dyDescent="0.25">
      <c r="A801" s="52">
        <v>45535</v>
      </c>
      <c r="B801" s="27" t="s">
        <v>522</v>
      </c>
      <c r="C801" s="2" t="s">
        <v>1692</v>
      </c>
      <c r="D801" s="2">
        <v>2</v>
      </c>
      <c r="E801" s="27" t="s">
        <v>175</v>
      </c>
      <c r="F801" t="s">
        <v>390</v>
      </c>
      <c r="G801" s="47"/>
      <c r="H801" s="102"/>
      <c r="I801" s="63"/>
      <c r="J801" t="str">
        <f>CONCATENATE(Tabla1[[#This Row],[OBRA]],"/",Tabla1[[#This Row],[CODIGO ENSAYO]])</f>
        <v>17-1/7-1</v>
      </c>
      <c r="K801" s="2" t="str">
        <f>UPPER(TEXT(Tabla1[[#This Row],[FECHA INF]],"MMMM"))</f>
        <v>AGOSTO</v>
      </c>
      <c r="L80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(Transporte de 02-09 de Septiembre de 2024)</v>
      </c>
    </row>
    <row r="802" spans="1:12" x14ac:dyDescent="0.25">
      <c r="A802" s="52">
        <v>45535</v>
      </c>
      <c r="B802" s="27" t="s">
        <v>854</v>
      </c>
      <c r="C802" s="2" t="s">
        <v>1680</v>
      </c>
      <c r="D802" s="2">
        <v>1</v>
      </c>
      <c r="E802" s="27" t="s">
        <v>175</v>
      </c>
      <c r="F802" t="s">
        <v>390</v>
      </c>
      <c r="G802" s="47"/>
      <c r="H802" s="102"/>
      <c r="I802" s="63" t="s">
        <v>1005</v>
      </c>
      <c r="J802" t="str">
        <f>CONCATENATE(Tabla1[[#This Row],[OBRA]],"/",Tabla1[[#This Row],[CODIGO ENSAYO]])</f>
        <v>8-1/7-1</v>
      </c>
      <c r="K802" s="2" t="str">
        <f>UPPER(TEXT(Tabla1[[#This Row],[FECHA INF]],"MMMM"))</f>
        <v>AGOSTO</v>
      </c>
      <c r="L80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(Transporte de 03-13-22 de Agosto de 2024)</v>
      </c>
    </row>
    <row r="803" spans="1:12" x14ac:dyDescent="0.25">
      <c r="A803" s="52">
        <v>45535</v>
      </c>
      <c r="B803" s="27" t="s">
        <v>854</v>
      </c>
      <c r="C803" s="2" t="s">
        <v>1659</v>
      </c>
      <c r="D803" s="2">
        <v>3</v>
      </c>
      <c r="E803" s="27" t="s">
        <v>123</v>
      </c>
      <c r="F803" t="s">
        <v>15</v>
      </c>
      <c r="G803" s="47"/>
      <c r="H803" s="102"/>
      <c r="I803" s="63" t="s">
        <v>1005</v>
      </c>
      <c r="J803" t="str">
        <f>CONCATENATE(Tabla1[[#This Row],[OBRA]],"/",Tabla1[[#This Row],[CODIGO ENSAYO]])</f>
        <v>8-1/1-1</v>
      </c>
      <c r="K803" s="2" t="str">
        <f>UPPER(TEXT(Tabla1[[#This Row],[FECHA INF]],"MMMM"))</f>
        <v>AGOSTO</v>
      </c>
      <c r="L80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0260-24</v>
      </c>
    </row>
    <row r="804" spans="1:12" hidden="1" x14ac:dyDescent="0.25">
      <c r="A804" s="52">
        <v>45535</v>
      </c>
      <c r="B804" s="27" t="s">
        <v>522</v>
      </c>
      <c r="C804" s="2" t="s">
        <v>1681</v>
      </c>
      <c r="D804" s="2">
        <v>12</v>
      </c>
      <c r="E804" s="27" t="s">
        <v>123</v>
      </c>
      <c r="F804" t="s">
        <v>15</v>
      </c>
      <c r="G804" s="47"/>
      <c r="H804" s="102"/>
      <c r="I804" s="63"/>
      <c r="J804" t="str">
        <f>CONCATENATE(Tabla1[[#This Row],[OBRA]],"/",Tabla1[[#This Row],[CODIGO ENSAYO]])</f>
        <v>17-1/1-1</v>
      </c>
      <c r="K804" s="2" t="str">
        <f>UPPER(TEXT(Tabla1[[#This Row],[FECHA INF]],"MMMM"))</f>
        <v>AGOSTO</v>
      </c>
      <c r="L80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0261-24</v>
      </c>
    </row>
    <row r="805" spans="1:12" x14ac:dyDescent="0.25">
      <c r="A805" s="52">
        <v>45535</v>
      </c>
      <c r="B805" s="27" t="s">
        <v>854</v>
      </c>
      <c r="C805" s="2" t="s">
        <v>1660</v>
      </c>
      <c r="D805" s="2">
        <v>3</v>
      </c>
      <c r="E805" s="27" t="s">
        <v>123</v>
      </c>
      <c r="F805" t="s">
        <v>15</v>
      </c>
      <c r="G805" s="47"/>
      <c r="H805" s="102"/>
      <c r="I805" s="63" t="s">
        <v>1005</v>
      </c>
      <c r="J805" t="str">
        <f>CONCATENATE(Tabla1[[#This Row],[OBRA]],"/",Tabla1[[#This Row],[CODIGO ENSAYO]])</f>
        <v>8-1/1-1</v>
      </c>
      <c r="K805" s="2" t="str">
        <f>UPPER(TEXT(Tabla1[[#This Row],[FECHA INF]],"MMMM"))</f>
        <v>AGOSTO</v>
      </c>
      <c r="L80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0262-24</v>
      </c>
    </row>
    <row r="806" spans="1:12" x14ac:dyDescent="0.25">
      <c r="A806" s="52">
        <v>45535</v>
      </c>
      <c r="B806" s="27" t="s">
        <v>854</v>
      </c>
      <c r="C806" s="2" t="s">
        <v>1661</v>
      </c>
      <c r="D806" s="2">
        <v>6</v>
      </c>
      <c r="E806" s="27" t="s">
        <v>123</v>
      </c>
      <c r="F806" t="s">
        <v>15</v>
      </c>
      <c r="G806" s="47"/>
      <c r="H806" s="102"/>
      <c r="I806" s="63" t="s">
        <v>1005</v>
      </c>
      <c r="J806" t="str">
        <f>CONCATENATE(Tabla1[[#This Row],[OBRA]],"/",Tabla1[[#This Row],[CODIGO ENSAYO]])</f>
        <v>8-1/1-1</v>
      </c>
      <c r="K806" s="2" t="str">
        <f>UPPER(TEXT(Tabla1[[#This Row],[FECHA INF]],"MMMM"))</f>
        <v>AGOSTO</v>
      </c>
      <c r="L80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0263-24</v>
      </c>
    </row>
    <row r="807" spans="1:12" x14ac:dyDescent="0.25">
      <c r="A807" s="52">
        <v>45535</v>
      </c>
      <c r="B807" s="27" t="s">
        <v>854</v>
      </c>
      <c r="C807" s="2" t="s">
        <v>1662</v>
      </c>
      <c r="D807" s="2">
        <v>3</v>
      </c>
      <c r="E807" s="27" t="s">
        <v>123</v>
      </c>
      <c r="F807" t="s">
        <v>15</v>
      </c>
      <c r="G807" s="47"/>
      <c r="H807" s="102"/>
      <c r="I807" s="63" t="s">
        <v>1005</v>
      </c>
      <c r="J807" t="str">
        <f>CONCATENATE(Tabla1[[#This Row],[OBRA]],"/",Tabla1[[#This Row],[CODIGO ENSAYO]])</f>
        <v>8-1/1-1</v>
      </c>
      <c r="K807" s="2" t="str">
        <f>UPPER(TEXT(Tabla1[[#This Row],[FECHA INF]],"MMMM"))</f>
        <v>AGOSTO</v>
      </c>
      <c r="L80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0264-24</v>
      </c>
    </row>
    <row r="808" spans="1:12" hidden="1" x14ac:dyDescent="0.25">
      <c r="A808" s="52">
        <v>45535</v>
      </c>
      <c r="B808" s="27" t="s">
        <v>522</v>
      </c>
      <c r="C808" s="2" t="s">
        <v>1682</v>
      </c>
      <c r="D808" s="2">
        <v>4</v>
      </c>
      <c r="E808" s="27" t="s">
        <v>123</v>
      </c>
      <c r="F808" t="s">
        <v>15</v>
      </c>
      <c r="G808" s="47"/>
      <c r="H808" s="102"/>
      <c r="I808" s="63"/>
      <c r="J808" t="str">
        <f>CONCATENATE(Tabla1[[#This Row],[OBRA]],"/",Tabla1[[#This Row],[CODIGO ENSAYO]])</f>
        <v>17-1/1-1</v>
      </c>
      <c r="K808" s="2" t="str">
        <f>UPPER(TEXT(Tabla1[[#This Row],[FECHA INF]],"MMMM"))</f>
        <v>AGOSTO</v>
      </c>
      <c r="L80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0265-24</v>
      </c>
    </row>
    <row r="809" spans="1:12" x14ac:dyDescent="0.25">
      <c r="A809" s="52">
        <v>45535</v>
      </c>
      <c r="B809" s="27" t="s">
        <v>854</v>
      </c>
      <c r="C809" s="2" t="s">
        <v>1663</v>
      </c>
      <c r="D809" s="2">
        <v>3</v>
      </c>
      <c r="E809" s="27" t="s">
        <v>123</v>
      </c>
      <c r="F809" t="s">
        <v>15</v>
      </c>
      <c r="G809" s="47"/>
      <c r="H809" s="102"/>
      <c r="I809" s="63" t="s">
        <v>1005</v>
      </c>
      <c r="J809" t="str">
        <f>CONCATENATE(Tabla1[[#This Row],[OBRA]],"/",Tabla1[[#This Row],[CODIGO ENSAYO]])</f>
        <v>8-1/1-1</v>
      </c>
      <c r="K809" s="2" t="str">
        <f>UPPER(TEXT(Tabla1[[#This Row],[FECHA INF]],"MMMM"))</f>
        <v>AGOSTO</v>
      </c>
      <c r="L80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0266-24</v>
      </c>
    </row>
    <row r="810" spans="1:12" hidden="1" x14ac:dyDescent="0.25">
      <c r="A810" s="52">
        <v>45535</v>
      </c>
      <c r="B810" s="27" t="s">
        <v>522</v>
      </c>
      <c r="C810" s="2" t="s">
        <v>1683</v>
      </c>
      <c r="D810" s="2">
        <v>9</v>
      </c>
      <c r="E810" s="27" t="s">
        <v>123</v>
      </c>
      <c r="F810" t="s">
        <v>15</v>
      </c>
      <c r="G810" s="47"/>
      <c r="H810" s="102"/>
      <c r="I810" s="63"/>
      <c r="J810" t="str">
        <f>CONCATENATE(Tabla1[[#This Row],[OBRA]],"/",Tabla1[[#This Row],[CODIGO ENSAYO]])</f>
        <v>17-1/1-1</v>
      </c>
      <c r="K810" s="2" t="str">
        <f>UPPER(TEXT(Tabla1[[#This Row],[FECHA INF]],"MMMM"))</f>
        <v>AGOSTO</v>
      </c>
      <c r="L81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0267-24</v>
      </c>
    </row>
    <row r="811" spans="1:12" x14ac:dyDescent="0.25">
      <c r="A811" s="52">
        <v>45535</v>
      </c>
      <c r="B811" s="27" t="s">
        <v>854</v>
      </c>
      <c r="C811" s="2" t="s">
        <v>1664</v>
      </c>
      <c r="D811" s="2">
        <v>3</v>
      </c>
      <c r="E811" s="27" t="s">
        <v>123</v>
      </c>
      <c r="F811" t="s">
        <v>15</v>
      </c>
      <c r="G811" s="47"/>
      <c r="H811" s="102"/>
      <c r="I811" s="63" t="s">
        <v>1005</v>
      </c>
      <c r="J811" t="str">
        <f>CONCATENATE(Tabla1[[#This Row],[OBRA]],"/",Tabla1[[#This Row],[CODIGO ENSAYO]])</f>
        <v>8-1/1-1</v>
      </c>
      <c r="K811" s="2" t="str">
        <f>UPPER(TEXT(Tabla1[[#This Row],[FECHA INF]],"MMMM"))</f>
        <v>AGOSTO</v>
      </c>
      <c r="L8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0268-24</v>
      </c>
    </row>
    <row r="812" spans="1:12" hidden="1" x14ac:dyDescent="0.25">
      <c r="A812" s="52">
        <v>45535</v>
      </c>
      <c r="B812" s="27" t="s">
        <v>522</v>
      </c>
      <c r="C812" s="2" t="s">
        <v>1684</v>
      </c>
      <c r="D812" s="2">
        <v>2</v>
      </c>
      <c r="E812" s="27" t="s">
        <v>123</v>
      </c>
      <c r="F812" t="s">
        <v>15</v>
      </c>
      <c r="G812" s="47"/>
      <c r="H812" s="102"/>
      <c r="I812" s="63"/>
      <c r="J812" t="str">
        <f>CONCATENATE(Tabla1[[#This Row],[OBRA]],"/",Tabla1[[#This Row],[CODIGO ENSAYO]])</f>
        <v>17-1/1-1</v>
      </c>
      <c r="K812" s="2" t="str">
        <f>UPPER(TEXT(Tabla1[[#This Row],[FECHA INF]],"MMMM"))</f>
        <v>AGOSTO</v>
      </c>
      <c r="L81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0269-24</v>
      </c>
    </row>
    <row r="813" spans="1:12" x14ac:dyDescent="0.25">
      <c r="A813" s="52">
        <v>45535</v>
      </c>
      <c r="B813" s="27" t="s">
        <v>854</v>
      </c>
      <c r="C813" s="2" t="s">
        <v>1665</v>
      </c>
      <c r="D813" s="2">
        <v>3</v>
      </c>
      <c r="E813" s="27" t="s">
        <v>123</v>
      </c>
      <c r="F813" t="s">
        <v>15</v>
      </c>
      <c r="G813" s="47"/>
      <c r="H813" s="102"/>
      <c r="I813" s="63" t="s">
        <v>1005</v>
      </c>
      <c r="J813" t="str">
        <f>CONCATENATE(Tabla1[[#This Row],[OBRA]],"/",Tabla1[[#This Row],[CODIGO ENSAYO]])</f>
        <v>8-1/1-1</v>
      </c>
      <c r="K813" s="2" t="str">
        <f>UPPER(TEXT(Tabla1[[#This Row],[FECHA INF]],"MMMM"))</f>
        <v>AGOSTO</v>
      </c>
      <c r="L81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0270-24</v>
      </c>
    </row>
    <row r="814" spans="1:12" x14ac:dyDescent="0.25">
      <c r="A814" s="52">
        <v>45535</v>
      </c>
      <c r="B814" s="27" t="s">
        <v>854</v>
      </c>
      <c r="C814" s="2" t="s">
        <v>1666</v>
      </c>
      <c r="D814" s="2">
        <v>3</v>
      </c>
      <c r="E814" s="27" t="s">
        <v>123</v>
      </c>
      <c r="F814" t="s">
        <v>15</v>
      </c>
      <c r="G814" s="47"/>
      <c r="H814" s="102"/>
      <c r="I814" s="63" t="s">
        <v>1005</v>
      </c>
      <c r="J814" t="str">
        <f>CONCATENATE(Tabla1[[#This Row],[OBRA]],"/",Tabla1[[#This Row],[CODIGO ENSAYO]])</f>
        <v>8-1/1-1</v>
      </c>
      <c r="K814" s="2" t="str">
        <f>UPPER(TEXT(Tabla1[[#This Row],[FECHA INF]],"MMMM"))</f>
        <v>AGOSTO</v>
      </c>
      <c r="L81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0271-24</v>
      </c>
    </row>
    <row r="815" spans="1:12" hidden="1" x14ac:dyDescent="0.25">
      <c r="A815" s="52">
        <v>45535</v>
      </c>
      <c r="B815" s="27" t="s">
        <v>522</v>
      </c>
      <c r="C815" s="2" t="s">
        <v>1685</v>
      </c>
      <c r="D815" s="2">
        <v>5</v>
      </c>
      <c r="E815" s="27" t="s">
        <v>123</v>
      </c>
      <c r="F815" t="s">
        <v>15</v>
      </c>
      <c r="G815" s="47"/>
      <c r="H815" s="102"/>
      <c r="I815" s="63"/>
      <c r="J815" t="str">
        <f>CONCATENATE(Tabla1[[#This Row],[OBRA]],"/",Tabla1[[#This Row],[CODIGO ENSAYO]])</f>
        <v>17-1/1-1</v>
      </c>
      <c r="K815" s="2" t="str">
        <f>UPPER(TEXT(Tabla1[[#This Row],[FECHA INF]],"MMMM"))</f>
        <v>AGOSTO</v>
      </c>
      <c r="L81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0272-24</v>
      </c>
    </row>
    <row r="816" spans="1:12" x14ac:dyDescent="0.25">
      <c r="A816" s="52">
        <v>45535</v>
      </c>
      <c r="B816" s="27" t="s">
        <v>854</v>
      </c>
      <c r="C816" s="2" t="s">
        <v>1667</v>
      </c>
      <c r="D816" s="2">
        <v>6</v>
      </c>
      <c r="E816" s="27" t="s">
        <v>123</v>
      </c>
      <c r="F816" t="s">
        <v>15</v>
      </c>
      <c r="G816" s="47"/>
      <c r="H816" s="102"/>
      <c r="I816" s="63" t="s">
        <v>1005</v>
      </c>
      <c r="J816" t="str">
        <f>CONCATENATE(Tabla1[[#This Row],[OBRA]],"/",Tabla1[[#This Row],[CODIGO ENSAYO]])</f>
        <v>8-1/1-1</v>
      </c>
      <c r="K816" s="2" t="str">
        <f>UPPER(TEXT(Tabla1[[#This Row],[FECHA INF]],"MMMM"))</f>
        <v>AGOSTO</v>
      </c>
      <c r="L81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0273-24</v>
      </c>
    </row>
    <row r="817" spans="1:12" hidden="1" x14ac:dyDescent="0.25">
      <c r="A817" s="52">
        <v>45535</v>
      </c>
      <c r="B817" s="27" t="s">
        <v>522</v>
      </c>
      <c r="C817" s="2" t="s">
        <v>1686</v>
      </c>
      <c r="D817" s="2">
        <v>10</v>
      </c>
      <c r="E817" s="27" t="s">
        <v>123</v>
      </c>
      <c r="F817" t="s">
        <v>15</v>
      </c>
      <c r="G817" s="47"/>
      <c r="H817" s="102"/>
      <c r="I817" s="63"/>
      <c r="J817" t="str">
        <f>CONCATENATE(Tabla1[[#This Row],[OBRA]],"/",Tabla1[[#This Row],[CODIGO ENSAYO]])</f>
        <v>17-1/1-1</v>
      </c>
      <c r="K817" s="2" t="str">
        <f>UPPER(TEXT(Tabla1[[#This Row],[FECHA INF]],"MMMM"))</f>
        <v>AGOSTO</v>
      </c>
      <c r="L81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0274-24</v>
      </c>
    </row>
    <row r="818" spans="1:12" hidden="1" x14ac:dyDescent="0.25">
      <c r="A818" s="52">
        <v>45535</v>
      </c>
      <c r="B818" s="27" t="s">
        <v>148</v>
      </c>
      <c r="C818" s="2" t="s">
        <v>1654</v>
      </c>
      <c r="D818" s="2">
        <v>3</v>
      </c>
      <c r="E818" s="27" t="s">
        <v>123</v>
      </c>
      <c r="F818" t="s">
        <v>15</v>
      </c>
      <c r="G818" s="47"/>
      <c r="H818" s="102"/>
      <c r="I818" s="63"/>
      <c r="J818" t="str">
        <f>CONCATENATE(Tabla1[[#This Row],[OBRA]],"/",Tabla1[[#This Row],[CODIGO ENSAYO]])</f>
        <v>3-1/1-1</v>
      </c>
      <c r="K818" s="2" t="str">
        <f>UPPER(TEXT(Tabla1[[#This Row],[FECHA INF]],"MMMM"))</f>
        <v>AGOSTO</v>
      </c>
      <c r="L81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0275-24</v>
      </c>
    </row>
    <row r="819" spans="1:12" hidden="1" x14ac:dyDescent="0.25">
      <c r="A819" s="52">
        <v>45535</v>
      </c>
      <c r="B819" s="27" t="s">
        <v>148</v>
      </c>
      <c r="C819" s="2" t="s">
        <v>1655</v>
      </c>
      <c r="D819" s="2">
        <v>2</v>
      </c>
      <c r="E819" s="27" t="s">
        <v>123</v>
      </c>
      <c r="F819" t="s">
        <v>15</v>
      </c>
      <c r="G819" s="47"/>
      <c r="H819" s="102"/>
      <c r="I819" s="63"/>
      <c r="J819" t="str">
        <f>CONCATENATE(Tabla1[[#This Row],[OBRA]],"/",Tabla1[[#This Row],[CODIGO ENSAYO]])</f>
        <v>3-1/1-1</v>
      </c>
      <c r="K819" s="2" t="str">
        <f>UPPER(TEXT(Tabla1[[#This Row],[FECHA INF]],"MMMM"))</f>
        <v>AGOSTO</v>
      </c>
      <c r="L81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0276-24</v>
      </c>
    </row>
    <row r="820" spans="1:12" x14ac:dyDescent="0.25">
      <c r="A820" s="52">
        <v>45535</v>
      </c>
      <c r="B820" s="27" t="s">
        <v>854</v>
      </c>
      <c r="C820" s="2" t="s">
        <v>1668</v>
      </c>
      <c r="D820" s="2">
        <v>6</v>
      </c>
      <c r="E820" s="27" t="s">
        <v>123</v>
      </c>
      <c r="F820" t="s">
        <v>15</v>
      </c>
      <c r="G820" s="47"/>
      <c r="H820" s="102"/>
      <c r="I820" s="63" t="s">
        <v>1005</v>
      </c>
      <c r="J820" t="str">
        <f>CONCATENATE(Tabla1[[#This Row],[OBRA]],"/",Tabla1[[#This Row],[CODIGO ENSAYO]])</f>
        <v>8-1/1-1</v>
      </c>
      <c r="K820" s="2" t="str">
        <f>UPPER(TEXT(Tabla1[[#This Row],[FECHA INF]],"MMMM"))</f>
        <v>AGOSTO</v>
      </c>
      <c r="L82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0277-24</v>
      </c>
    </row>
    <row r="821" spans="1:12" x14ac:dyDescent="0.25">
      <c r="A821" s="52">
        <v>45535</v>
      </c>
      <c r="B821" s="27" t="s">
        <v>854</v>
      </c>
      <c r="C821" s="2" t="s">
        <v>1669</v>
      </c>
      <c r="D821" s="2">
        <v>3</v>
      </c>
      <c r="E821" s="27" t="s">
        <v>123</v>
      </c>
      <c r="F821" t="s">
        <v>15</v>
      </c>
      <c r="G821" s="47"/>
      <c r="H821" s="102"/>
      <c r="I821" s="63" t="s">
        <v>1005</v>
      </c>
      <c r="J821" t="str">
        <f>CONCATENATE(Tabla1[[#This Row],[OBRA]],"/",Tabla1[[#This Row],[CODIGO ENSAYO]])</f>
        <v>8-1/1-1</v>
      </c>
      <c r="K821" s="2" t="str">
        <f>UPPER(TEXT(Tabla1[[#This Row],[FECHA INF]],"MMMM"))</f>
        <v>AGOSTO</v>
      </c>
      <c r="L82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0278-24</v>
      </c>
    </row>
    <row r="822" spans="1:12" hidden="1" x14ac:dyDescent="0.25">
      <c r="A822" s="52">
        <v>45535</v>
      </c>
      <c r="B822" s="27" t="s">
        <v>522</v>
      </c>
      <c r="C822" s="2" t="s">
        <v>1687</v>
      </c>
      <c r="D822" s="2">
        <v>2</v>
      </c>
      <c r="E822" s="27" t="s">
        <v>123</v>
      </c>
      <c r="F822" t="s">
        <v>15</v>
      </c>
      <c r="G822" s="47"/>
      <c r="H822" s="102"/>
      <c r="I822" s="63"/>
      <c r="J822" t="str">
        <f>CONCATENATE(Tabla1[[#This Row],[OBRA]],"/",Tabla1[[#This Row],[CODIGO ENSAYO]])</f>
        <v>17-1/1-1</v>
      </c>
      <c r="K822" s="2" t="str">
        <f>UPPER(TEXT(Tabla1[[#This Row],[FECHA INF]],"MMMM"))</f>
        <v>AGOSTO</v>
      </c>
      <c r="L82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0279-24</v>
      </c>
    </row>
    <row r="823" spans="1:12" hidden="1" x14ac:dyDescent="0.25">
      <c r="A823" s="52">
        <v>45535</v>
      </c>
      <c r="B823" s="27" t="s">
        <v>148</v>
      </c>
      <c r="C823" s="2" t="s">
        <v>1656</v>
      </c>
      <c r="D823" s="2">
        <v>3</v>
      </c>
      <c r="E823" s="27" t="s">
        <v>123</v>
      </c>
      <c r="F823" t="s">
        <v>15</v>
      </c>
      <c r="G823" s="47"/>
      <c r="H823" s="102"/>
      <c r="I823" s="63"/>
      <c r="J823" t="str">
        <f>CONCATENATE(Tabla1[[#This Row],[OBRA]],"/",Tabla1[[#This Row],[CODIGO ENSAYO]])</f>
        <v>3-1/1-1</v>
      </c>
      <c r="K823" s="2" t="str">
        <f>UPPER(TEXT(Tabla1[[#This Row],[FECHA INF]],"MMMM"))</f>
        <v>AGOSTO</v>
      </c>
      <c r="L82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0280-24</v>
      </c>
    </row>
    <row r="824" spans="1:12" x14ac:dyDescent="0.25">
      <c r="A824" s="52">
        <v>45535</v>
      </c>
      <c r="B824" s="27" t="s">
        <v>854</v>
      </c>
      <c r="C824" s="2" t="s">
        <v>1670</v>
      </c>
      <c r="D824" s="2">
        <v>6</v>
      </c>
      <c r="E824" s="27" t="s">
        <v>123</v>
      </c>
      <c r="F824" t="s">
        <v>15</v>
      </c>
      <c r="G824" s="47"/>
      <c r="H824" s="102"/>
      <c r="I824" s="63" t="s">
        <v>1005</v>
      </c>
      <c r="J824" t="str">
        <f>CONCATENATE(Tabla1[[#This Row],[OBRA]],"/",Tabla1[[#This Row],[CODIGO ENSAYO]])</f>
        <v>8-1/1-1</v>
      </c>
      <c r="K824" s="2" t="str">
        <f>UPPER(TEXT(Tabla1[[#This Row],[FECHA INF]],"MMMM"))</f>
        <v>AGOSTO</v>
      </c>
      <c r="L82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0281-24</v>
      </c>
    </row>
    <row r="825" spans="1:12" hidden="1" x14ac:dyDescent="0.25">
      <c r="A825" s="52">
        <v>45535</v>
      </c>
      <c r="B825" s="27" t="s">
        <v>522</v>
      </c>
      <c r="C825" s="2" t="s">
        <v>1688</v>
      </c>
      <c r="D825" s="2">
        <v>2</v>
      </c>
      <c r="E825" s="27" t="s">
        <v>123</v>
      </c>
      <c r="F825" t="s">
        <v>15</v>
      </c>
      <c r="G825" s="47"/>
      <c r="H825" s="102"/>
      <c r="I825" s="63"/>
      <c r="J825" t="str">
        <f>CONCATENATE(Tabla1[[#This Row],[OBRA]],"/",Tabla1[[#This Row],[CODIGO ENSAYO]])</f>
        <v>17-1/1-1</v>
      </c>
      <c r="K825" s="2" t="str">
        <f>UPPER(TEXT(Tabla1[[#This Row],[FECHA INF]],"MMMM"))</f>
        <v>AGOSTO</v>
      </c>
      <c r="L82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0282-24</v>
      </c>
    </row>
    <row r="826" spans="1:12" hidden="1" x14ac:dyDescent="0.25">
      <c r="A826" s="52">
        <v>45535</v>
      </c>
      <c r="B826" s="27" t="s">
        <v>148</v>
      </c>
      <c r="C826" s="2" t="s">
        <v>1657</v>
      </c>
      <c r="D826" s="2">
        <v>1</v>
      </c>
      <c r="E826" s="27" t="s">
        <v>123</v>
      </c>
      <c r="F826" t="s">
        <v>15</v>
      </c>
      <c r="G826" s="47"/>
      <c r="H826" s="102"/>
      <c r="I826" s="63"/>
      <c r="J826" t="str">
        <f>CONCATENATE(Tabla1[[#This Row],[OBRA]],"/",Tabla1[[#This Row],[CODIGO ENSAYO]])</f>
        <v>3-1/1-1</v>
      </c>
      <c r="K826" s="2" t="str">
        <f>UPPER(TEXT(Tabla1[[#This Row],[FECHA INF]],"MMMM"))</f>
        <v>AGOSTO</v>
      </c>
      <c r="L82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0283-24</v>
      </c>
    </row>
    <row r="827" spans="1:12" x14ac:dyDescent="0.25">
      <c r="A827" s="52">
        <v>45535</v>
      </c>
      <c r="B827" s="27" t="s">
        <v>854</v>
      </c>
      <c r="C827" s="2" t="s">
        <v>1671</v>
      </c>
      <c r="D827" s="2">
        <v>9</v>
      </c>
      <c r="E827" s="27" t="s">
        <v>123</v>
      </c>
      <c r="F827" t="s">
        <v>15</v>
      </c>
      <c r="G827" s="47"/>
      <c r="H827" s="102"/>
      <c r="I827" s="63" t="s">
        <v>1005</v>
      </c>
      <c r="J827" t="str">
        <f>CONCATENATE(Tabla1[[#This Row],[OBRA]],"/",Tabla1[[#This Row],[CODIGO ENSAYO]])</f>
        <v>8-1/1-1</v>
      </c>
      <c r="K827" s="2" t="str">
        <f>UPPER(TEXT(Tabla1[[#This Row],[FECHA INF]],"MMMM"))</f>
        <v>AGOSTO</v>
      </c>
      <c r="L82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0284-24</v>
      </c>
    </row>
    <row r="828" spans="1:12" hidden="1" x14ac:dyDescent="0.25">
      <c r="A828" s="52">
        <v>45535</v>
      </c>
      <c r="B828" s="27" t="s">
        <v>522</v>
      </c>
      <c r="C828" s="2" t="s">
        <v>1689</v>
      </c>
      <c r="D828" s="2">
        <v>3</v>
      </c>
      <c r="E828" s="27" t="s">
        <v>123</v>
      </c>
      <c r="F828" t="s">
        <v>15</v>
      </c>
      <c r="G828" s="47"/>
      <c r="H828" s="102"/>
      <c r="I828" s="63"/>
      <c r="J828" t="str">
        <f>CONCATENATE(Tabla1[[#This Row],[OBRA]],"/",Tabla1[[#This Row],[CODIGO ENSAYO]])</f>
        <v>17-1/1-1</v>
      </c>
      <c r="K828" s="2" t="str">
        <f>UPPER(TEXT(Tabla1[[#This Row],[FECHA INF]],"MMMM"))</f>
        <v>AGOSTO</v>
      </c>
      <c r="L82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0285-24</v>
      </c>
    </row>
    <row r="829" spans="1:12" x14ac:dyDescent="0.25">
      <c r="A829" s="52">
        <v>45535</v>
      </c>
      <c r="B829" s="27" t="s">
        <v>854</v>
      </c>
      <c r="C829" s="2" t="s">
        <v>1672</v>
      </c>
      <c r="D829" s="2">
        <v>9</v>
      </c>
      <c r="E829" s="27" t="s">
        <v>123</v>
      </c>
      <c r="F829" t="s">
        <v>15</v>
      </c>
      <c r="G829" s="47"/>
      <c r="H829" s="102"/>
      <c r="I829" s="63" t="s">
        <v>1005</v>
      </c>
      <c r="J829" t="str">
        <f>CONCATENATE(Tabla1[[#This Row],[OBRA]],"/",Tabla1[[#This Row],[CODIGO ENSAYO]])</f>
        <v>8-1/1-1</v>
      </c>
      <c r="K829" s="2" t="str">
        <f>UPPER(TEXT(Tabla1[[#This Row],[FECHA INF]],"MMMM"))</f>
        <v>AGOSTO</v>
      </c>
      <c r="L82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0286-24</v>
      </c>
    </row>
    <row r="830" spans="1:12" x14ac:dyDescent="0.25">
      <c r="A830" s="52">
        <v>45535</v>
      </c>
      <c r="B830" s="27" t="s">
        <v>854</v>
      </c>
      <c r="C830" s="2" t="s">
        <v>1673</v>
      </c>
      <c r="D830" s="2">
        <v>9</v>
      </c>
      <c r="E830" s="27" t="s">
        <v>123</v>
      </c>
      <c r="F830" t="s">
        <v>15</v>
      </c>
      <c r="G830" s="47"/>
      <c r="H830" s="102"/>
      <c r="I830" s="63" t="s">
        <v>1005</v>
      </c>
      <c r="J830" t="str">
        <f>CONCATENATE(Tabla1[[#This Row],[OBRA]],"/",Tabla1[[#This Row],[CODIGO ENSAYO]])</f>
        <v>8-1/1-1</v>
      </c>
      <c r="K830" s="2" t="str">
        <f>UPPER(TEXT(Tabla1[[#This Row],[FECHA INF]],"MMMM"))</f>
        <v>AGOSTO</v>
      </c>
      <c r="L83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0287-24</v>
      </c>
    </row>
    <row r="831" spans="1:12" x14ac:dyDescent="0.25">
      <c r="A831" s="52">
        <v>45535</v>
      </c>
      <c r="B831" s="27" t="s">
        <v>854</v>
      </c>
      <c r="C831" s="2" t="s">
        <v>1674</v>
      </c>
      <c r="D831" s="2">
        <v>3</v>
      </c>
      <c r="E831" s="27" t="s">
        <v>123</v>
      </c>
      <c r="F831" t="s">
        <v>15</v>
      </c>
      <c r="G831" s="47"/>
      <c r="H831" s="102"/>
      <c r="I831" s="63" t="s">
        <v>1005</v>
      </c>
      <c r="J831" t="str">
        <f>CONCATENATE(Tabla1[[#This Row],[OBRA]],"/",Tabla1[[#This Row],[CODIGO ENSAYO]])</f>
        <v>8-1/1-1</v>
      </c>
      <c r="K831" s="2" t="str">
        <f>UPPER(TEXT(Tabla1[[#This Row],[FECHA INF]],"MMMM"))</f>
        <v>AGOSTO</v>
      </c>
      <c r="L83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0288-24</v>
      </c>
    </row>
    <row r="832" spans="1:12" x14ac:dyDescent="0.25">
      <c r="A832" s="52">
        <v>45535</v>
      </c>
      <c r="B832" s="27" t="s">
        <v>854</v>
      </c>
      <c r="C832" s="2" t="s">
        <v>1675</v>
      </c>
      <c r="D832" s="2">
        <v>3</v>
      </c>
      <c r="E832" s="27" t="s">
        <v>123</v>
      </c>
      <c r="F832" t="s">
        <v>15</v>
      </c>
      <c r="G832" s="47"/>
      <c r="H832" s="102"/>
      <c r="I832" s="63" t="s">
        <v>1005</v>
      </c>
      <c r="J832" t="str">
        <f>CONCATENATE(Tabla1[[#This Row],[OBRA]],"/",Tabla1[[#This Row],[CODIGO ENSAYO]])</f>
        <v>8-1/1-1</v>
      </c>
      <c r="K832" s="2" t="str">
        <f>UPPER(TEXT(Tabla1[[#This Row],[FECHA INF]],"MMMM"))</f>
        <v>AGOSTO</v>
      </c>
      <c r="L83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0289-24</v>
      </c>
    </row>
    <row r="833" spans="1:12" hidden="1" x14ac:dyDescent="0.25">
      <c r="A833" s="52">
        <v>45535</v>
      </c>
      <c r="B833" s="27" t="s">
        <v>148</v>
      </c>
      <c r="C833" s="2" t="s">
        <v>1658</v>
      </c>
      <c r="D833" s="2">
        <v>2</v>
      </c>
      <c r="E833" s="27" t="s">
        <v>123</v>
      </c>
      <c r="F833" t="s">
        <v>15</v>
      </c>
      <c r="G833" s="47"/>
      <c r="H833" s="102"/>
      <c r="I833" s="63"/>
      <c r="J833" t="str">
        <f>CONCATENATE(Tabla1[[#This Row],[OBRA]],"/",Tabla1[[#This Row],[CODIGO ENSAYO]])</f>
        <v>3-1/1-1</v>
      </c>
      <c r="K833" s="2" t="str">
        <f>UPPER(TEXT(Tabla1[[#This Row],[FECHA INF]],"MMMM"))</f>
        <v>AGOSTO</v>
      </c>
      <c r="L83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0290-24</v>
      </c>
    </row>
    <row r="834" spans="1:12" x14ac:dyDescent="0.25">
      <c r="A834" s="52">
        <v>45535</v>
      </c>
      <c r="B834" s="27" t="s">
        <v>854</v>
      </c>
      <c r="C834" s="2" t="s">
        <v>1676</v>
      </c>
      <c r="D834" s="2">
        <v>3</v>
      </c>
      <c r="E834" s="27" t="s">
        <v>123</v>
      </c>
      <c r="F834" t="s">
        <v>15</v>
      </c>
      <c r="G834" s="47"/>
      <c r="H834" s="102"/>
      <c r="I834" s="63" t="s">
        <v>1005</v>
      </c>
      <c r="J834" t="str">
        <f>CONCATENATE(Tabla1[[#This Row],[OBRA]],"/",Tabla1[[#This Row],[CODIGO ENSAYO]])</f>
        <v>8-1/1-1</v>
      </c>
      <c r="K834" s="2" t="str">
        <f>UPPER(TEXT(Tabla1[[#This Row],[FECHA INF]],"MMMM"))</f>
        <v>AGOSTO</v>
      </c>
      <c r="L83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0291-24</v>
      </c>
    </row>
    <row r="835" spans="1:12" x14ac:dyDescent="0.25">
      <c r="A835" s="52">
        <v>45535</v>
      </c>
      <c r="B835" s="27" t="s">
        <v>854</v>
      </c>
      <c r="C835" s="2" t="s">
        <v>1677</v>
      </c>
      <c r="D835" s="2">
        <v>3</v>
      </c>
      <c r="E835" s="27" t="s">
        <v>123</v>
      </c>
      <c r="F835" t="s">
        <v>15</v>
      </c>
      <c r="G835" s="47"/>
      <c r="H835" s="102"/>
      <c r="I835" s="63" t="s">
        <v>1005</v>
      </c>
      <c r="J835" t="str">
        <f>CONCATENATE(Tabla1[[#This Row],[OBRA]],"/",Tabla1[[#This Row],[CODIGO ENSAYO]])</f>
        <v>8-1/1-1</v>
      </c>
      <c r="K835" s="2" t="str">
        <f>UPPER(TEXT(Tabla1[[#This Row],[FECHA INF]],"MMMM"))</f>
        <v>AGOSTO</v>
      </c>
      <c r="L83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0292-24</v>
      </c>
    </row>
    <row r="836" spans="1:12" hidden="1" x14ac:dyDescent="0.25">
      <c r="A836" s="52">
        <v>45535</v>
      </c>
      <c r="B836" s="27" t="s">
        <v>522</v>
      </c>
      <c r="C836" s="2" t="s">
        <v>1690</v>
      </c>
      <c r="D836" s="2">
        <v>15</v>
      </c>
      <c r="E836" s="27" t="s">
        <v>123</v>
      </c>
      <c r="F836" t="s">
        <v>15</v>
      </c>
      <c r="G836" s="47"/>
      <c r="H836" s="102"/>
      <c r="I836" s="63"/>
      <c r="J836" t="str">
        <f>CONCATENATE(Tabla1[[#This Row],[OBRA]],"/",Tabla1[[#This Row],[CODIGO ENSAYO]])</f>
        <v>17-1/1-1</v>
      </c>
      <c r="K836" s="2" t="str">
        <f>UPPER(TEXT(Tabla1[[#This Row],[FECHA INF]],"MMMM"))</f>
        <v>AGOSTO</v>
      </c>
      <c r="L83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0293-24</v>
      </c>
    </row>
    <row r="837" spans="1:12" x14ac:dyDescent="0.25">
      <c r="A837" s="52">
        <v>45535</v>
      </c>
      <c r="B837" s="27" t="s">
        <v>854</v>
      </c>
      <c r="C837" s="2" t="s">
        <v>1678</v>
      </c>
      <c r="D837" s="2">
        <v>6</v>
      </c>
      <c r="E837" s="27" t="s">
        <v>123</v>
      </c>
      <c r="F837" t="s">
        <v>15</v>
      </c>
      <c r="G837" s="47"/>
      <c r="H837" s="102"/>
      <c r="I837" s="63" t="s">
        <v>1005</v>
      </c>
      <c r="J837" t="str">
        <f>CONCATENATE(Tabla1[[#This Row],[OBRA]],"/",Tabla1[[#This Row],[CODIGO ENSAYO]])</f>
        <v>8-1/1-1</v>
      </c>
      <c r="K837" s="2" t="str">
        <f>UPPER(TEXT(Tabla1[[#This Row],[FECHA INF]],"MMMM"))</f>
        <v>AGOSTO</v>
      </c>
      <c r="L83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0294-24</v>
      </c>
    </row>
    <row r="838" spans="1:12" x14ac:dyDescent="0.25">
      <c r="A838" s="52">
        <v>45535</v>
      </c>
      <c r="B838" s="27" t="s">
        <v>854</v>
      </c>
      <c r="C838" s="2" t="s">
        <v>1679</v>
      </c>
      <c r="D838" s="2">
        <v>3</v>
      </c>
      <c r="E838" s="27" t="s">
        <v>123</v>
      </c>
      <c r="F838" t="s">
        <v>15</v>
      </c>
      <c r="G838" s="47"/>
      <c r="H838" s="102"/>
      <c r="I838" s="63" t="s">
        <v>1005</v>
      </c>
      <c r="J838" t="str">
        <f>CONCATENATE(Tabla1[[#This Row],[OBRA]],"/",Tabla1[[#This Row],[CODIGO ENSAYO]])</f>
        <v>8-1/1-1</v>
      </c>
      <c r="K838" s="2" t="str">
        <f>UPPER(TEXT(Tabla1[[#This Row],[FECHA INF]],"MMMM"))</f>
        <v>AGOSTO</v>
      </c>
      <c r="L83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0295-24</v>
      </c>
    </row>
    <row r="839" spans="1:12" hidden="1" x14ac:dyDescent="0.25">
      <c r="A839" s="52">
        <v>45535</v>
      </c>
      <c r="B839" s="27" t="s">
        <v>522</v>
      </c>
      <c r="C839" s="2" t="s">
        <v>1691</v>
      </c>
      <c r="D839" s="2">
        <v>3</v>
      </c>
      <c r="E839" s="27" t="s">
        <v>123</v>
      </c>
      <c r="F839" t="s">
        <v>15</v>
      </c>
      <c r="G839" s="47"/>
      <c r="H839" s="102"/>
      <c r="I839" s="63"/>
      <c r="J839" t="str">
        <f>CONCATENATE(Tabla1[[#This Row],[OBRA]],"/",Tabla1[[#This Row],[CODIGO ENSAYO]])</f>
        <v>17-1/1-1</v>
      </c>
      <c r="K839" s="2" t="str">
        <f>UPPER(TEXT(Tabla1[[#This Row],[FECHA INF]],"MMMM"))</f>
        <v>AGOSTO</v>
      </c>
      <c r="L83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0296-24</v>
      </c>
    </row>
    <row r="840" spans="1:12" x14ac:dyDescent="0.25">
      <c r="A840" s="52">
        <v>45565</v>
      </c>
      <c r="B840" s="27" t="s">
        <v>854</v>
      </c>
      <c r="C840" s="2" t="s">
        <v>1715</v>
      </c>
      <c r="D840" s="2">
        <v>2</v>
      </c>
      <c r="E840" s="27" t="s">
        <v>175</v>
      </c>
      <c r="F840" t="s">
        <v>390</v>
      </c>
      <c r="G840" s="47"/>
      <c r="H840" s="102"/>
      <c r="I840" s="63" t="s">
        <v>1005</v>
      </c>
      <c r="J840" t="str">
        <f>CONCATENATE(Tabla1[[#This Row],[OBRA]],"/",Tabla1[[#This Row],[CODIGO ENSAYO]])</f>
        <v>8-1/7-1</v>
      </c>
      <c r="K840" s="2" t="str">
        <f>UPPER(TEXT(Tabla1[[#This Row],[FECHA INF]],"MMMM"))</f>
        <v>SEPTIEMBRE</v>
      </c>
      <c r="L84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(Transporte del 09-24-25-20 de Septiembre de 2024)</v>
      </c>
    </row>
    <row r="841" spans="1:12" x14ac:dyDescent="0.25">
      <c r="A841" s="52">
        <v>45565</v>
      </c>
      <c r="B841" s="27" t="s">
        <v>854</v>
      </c>
      <c r="C841" s="2" t="s">
        <v>1699</v>
      </c>
      <c r="D841" s="2">
        <v>3</v>
      </c>
      <c r="E841" s="27" t="s">
        <v>123</v>
      </c>
      <c r="F841" t="s">
        <v>15</v>
      </c>
      <c r="G841" s="47"/>
      <c r="H841" s="102"/>
      <c r="I841" s="63" t="s">
        <v>1005</v>
      </c>
      <c r="J841" t="str">
        <f>CONCATENATE(Tabla1[[#This Row],[OBRA]],"/",Tabla1[[#This Row],[CODIGO ENSAYO]])</f>
        <v>8-1/1-1</v>
      </c>
      <c r="K841" s="2" t="str">
        <f>UPPER(TEXT(Tabla1[[#This Row],[FECHA INF]],"MMMM"))</f>
        <v>SEPTIEMBRE</v>
      </c>
      <c r="L84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0297-24</v>
      </c>
    </row>
    <row r="842" spans="1:12" x14ac:dyDescent="0.25">
      <c r="A842" s="52">
        <v>45565</v>
      </c>
      <c r="B842" s="27" t="s">
        <v>854</v>
      </c>
      <c r="C842" s="2" t="s">
        <v>1700</v>
      </c>
      <c r="D842" s="2">
        <v>6</v>
      </c>
      <c r="E842" s="27" t="s">
        <v>123</v>
      </c>
      <c r="F842" t="s">
        <v>15</v>
      </c>
      <c r="G842" s="47"/>
      <c r="H842" s="102"/>
      <c r="I842" s="63" t="s">
        <v>1005</v>
      </c>
      <c r="J842" t="str">
        <f>CONCATENATE(Tabla1[[#This Row],[OBRA]],"/",Tabla1[[#This Row],[CODIGO ENSAYO]])</f>
        <v>8-1/1-1</v>
      </c>
      <c r="K842" s="2" t="str">
        <f>UPPER(TEXT(Tabla1[[#This Row],[FECHA INF]],"MMMM"))</f>
        <v>SEPTIEMBRE</v>
      </c>
      <c r="L84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0298-24</v>
      </c>
    </row>
    <row r="843" spans="1:12" hidden="1" x14ac:dyDescent="0.25">
      <c r="A843" s="52">
        <v>45565</v>
      </c>
      <c r="B843" s="27" t="s">
        <v>522</v>
      </c>
      <c r="C843" s="2" t="s">
        <v>1721</v>
      </c>
      <c r="D843" s="2">
        <v>3</v>
      </c>
      <c r="E843" s="27" t="s">
        <v>123</v>
      </c>
      <c r="F843" t="s">
        <v>15</v>
      </c>
      <c r="G843" s="47"/>
      <c r="H843" s="102"/>
      <c r="I843" s="63"/>
      <c r="J843" t="str">
        <f>CONCATENATE(Tabla1[[#This Row],[OBRA]],"/",Tabla1[[#This Row],[CODIGO ENSAYO]])</f>
        <v>17-1/1-1</v>
      </c>
      <c r="K843" s="2" t="str">
        <f>UPPER(TEXT(Tabla1[[#This Row],[FECHA INF]],"MMMM"))</f>
        <v>SEPTIEMBRE</v>
      </c>
      <c r="L84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0299-24</v>
      </c>
    </row>
    <row r="844" spans="1:12" x14ac:dyDescent="0.25">
      <c r="A844" s="52">
        <v>45565</v>
      </c>
      <c r="B844" s="27" t="s">
        <v>854</v>
      </c>
      <c r="C844" s="2" t="s">
        <v>1701</v>
      </c>
      <c r="D844" s="2">
        <v>3</v>
      </c>
      <c r="E844" s="27" t="s">
        <v>123</v>
      </c>
      <c r="F844" t="s">
        <v>15</v>
      </c>
      <c r="G844" s="47"/>
      <c r="H844" s="102"/>
      <c r="I844" s="63" t="s">
        <v>1005</v>
      </c>
      <c r="J844" t="str">
        <f>CONCATENATE(Tabla1[[#This Row],[OBRA]],"/",Tabla1[[#This Row],[CODIGO ENSAYO]])</f>
        <v>8-1/1-1</v>
      </c>
      <c r="K844" s="2" t="str">
        <f>UPPER(TEXT(Tabla1[[#This Row],[FECHA INF]],"MMMM"))</f>
        <v>SEPTIEMBRE</v>
      </c>
      <c r="L84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0300-24</v>
      </c>
    </row>
    <row r="845" spans="1:12" x14ac:dyDescent="0.25">
      <c r="A845" s="52">
        <v>45565</v>
      </c>
      <c r="B845" s="27" t="s">
        <v>854</v>
      </c>
      <c r="C845" s="2" t="s">
        <v>1702</v>
      </c>
      <c r="D845" s="2">
        <v>3</v>
      </c>
      <c r="E845" s="27" t="s">
        <v>123</v>
      </c>
      <c r="F845" t="s">
        <v>15</v>
      </c>
      <c r="G845" s="47"/>
      <c r="H845" s="102"/>
      <c r="I845" s="63" t="s">
        <v>1005</v>
      </c>
      <c r="J845" t="str">
        <f>CONCATENATE(Tabla1[[#This Row],[OBRA]],"/",Tabla1[[#This Row],[CODIGO ENSAYO]])</f>
        <v>8-1/1-1</v>
      </c>
      <c r="K845" s="2" t="str">
        <f>UPPER(TEXT(Tabla1[[#This Row],[FECHA INF]],"MMMM"))</f>
        <v>SEPTIEMBRE</v>
      </c>
      <c r="L84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0301-24</v>
      </c>
    </row>
    <row r="846" spans="1:12" x14ac:dyDescent="0.25">
      <c r="A846" s="52">
        <v>45565</v>
      </c>
      <c r="B846" s="27" t="s">
        <v>854</v>
      </c>
      <c r="C846" s="2" t="s">
        <v>1703</v>
      </c>
      <c r="D846" s="2">
        <v>9</v>
      </c>
      <c r="E846" s="27" t="s">
        <v>123</v>
      </c>
      <c r="F846" t="s">
        <v>15</v>
      </c>
      <c r="G846" s="47"/>
      <c r="H846" s="102"/>
      <c r="I846" s="63" t="s">
        <v>1005</v>
      </c>
      <c r="J846" t="str">
        <f>CONCATENATE(Tabla1[[#This Row],[OBRA]],"/",Tabla1[[#This Row],[CODIGO ENSAYO]])</f>
        <v>8-1/1-1</v>
      </c>
      <c r="K846" s="2" t="str">
        <f>UPPER(TEXT(Tabla1[[#This Row],[FECHA INF]],"MMMM"))</f>
        <v>SEPTIEMBRE</v>
      </c>
      <c r="L84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0302-24</v>
      </c>
    </row>
    <row r="847" spans="1:12" hidden="1" x14ac:dyDescent="0.25">
      <c r="A847" s="52">
        <v>45565</v>
      </c>
      <c r="B847" s="27" t="s">
        <v>148</v>
      </c>
      <c r="C847" s="2" t="s">
        <v>1716</v>
      </c>
      <c r="D847" s="2">
        <v>2</v>
      </c>
      <c r="E847" s="27" t="s">
        <v>123</v>
      </c>
      <c r="F847" t="s">
        <v>15</v>
      </c>
      <c r="G847" s="47"/>
      <c r="H847" s="102"/>
      <c r="I847" s="63"/>
      <c r="J847" t="str">
        <f>CONCATENATE(Tabla1[[#This Row],[OBRA]],"/",Tabla1[[#This Row],[CODIGO ENSAYO]])</f>
        <v>3-1/1-1</v>
      </c>
      <c r="K847" s="2" t="str">
        <f>UPPER(TEXT(Tabla1[[#This Row],[FECHA INF]],"MMMM"))</f>
        <v>SEPTIEMBRE</v>
      </c>
      <c r="L84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0303-24</v>
      </c>
    </row>
    <row r="848" spans="1:12" hidden="1" x14ac:dyDescent="0.25">
      <c r="A848" s="52">
        <v>45565</v>
      </c>
      <c r="B848" s="27" t="s">
        <v>148</v>
      </c>
      <c r="C848" s="2" t="s">
        <v>1717</v>
      </c>
      <c r="D848" s="2">
        <v>2</v>
      </c>
      <c r="E848" s="27" t="s">
        <v>123</v>
      </c>
      <c r="F848" t="s">
        <v>15</v>
      </c>
      <c r="G848" s="47"/>
      <c r="H848" s="102"/>
      <c r="I848" s="63"/>
      <c r="J848" t="str">
        <f>CONCATENATE(Tabla1[[#This Row],[OBRA]],"/",Tabla1[[#This Row],[CODIGO ENSAYO]])</f>
        <v>3-1/1-1</v>
      </c>
      <c r="K848" s="2" t="str">
        <f>UPPER(TEXT(Tabla1[[#This Row],[FECHA INF]],"MMMM"))</f>
        <v>SEPTIEMBRE</v>
      </c>
      <c r="L84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0304-24</v>
      </c>
    </row>
    <row r="849" spans="1:12" x14ac:dyDescent="0.25">
      <c r="A849" s="52">
        <v>45565</v>
      </c>
      <c r="B849" s="27" t="s">
        <v>854</v>
      </c>
      <c r="C849" s="2" t="s">
        <v>1704</v>
      </c>
      <c r="D849" s="2">
        <v>3</v>
      </c>
      <c r="E849" s="27" t="s">
        <v>123</v>
      </c>
      <c r="F849" t="s">
        <v>15</v>
      </c>
      <c r="G849" s="47"/>
      <c r="H849" s="102"/>
      <c r="I849" s="63" t="s">
        <v>1005</v>
      </c>
      <c r="J849" t="str">
        <f>CONCATENATE(Tabla1[[#This Row],[OBRA]],"/",Tabla1[[#This Row],[CODIGO ENSAYO]])</f>
        <v>8-1/1-1</v>
      </c>
      <c r="K849" s="2" t="str">
        <f>UPPER(TEXT(Tabla1[[#This Row],[FECHA INF]],"MMMM"))</f>
        <v>SEPTIEMBRE</v>
      </c>
      <c r="L84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0305-24</v>
      </c>
    </row>
    <row r="850" spans="1:12" hidden="1" x14ac:dyDescent="0.25">
      <c r="A850" s="52">
        <v>45565</v>
      </c>
      <c r="B850" s="27" t="s">
        <v>148</v>
      </c>
      <c r="C850" s="2" t="s">
        <v>1718</v>
      </c>
      <c r="D850" s="2">
        <v>3</v>
      </c>
      <c r="E850" s="27" t="s">
        <v>123</v>
      </c>
      <c r="F850" t="s">
        <v>15</v>
      </c>
      <c r="G850" s="47"/>
      <c r="H850" s="102"/>
      <c r="I850" s="63"/>
      <c r="J850" t="str">
        <f>CONCATENATE(Tabla1[[#This Row],[OBRA]],"/",Tabla1[[#This Row],[CODIGO ENSAYO]])</f>
        <v>3-1/1-1</v>
      </c>
      <c r="K850" s="2" t="str">
        <f>UPPER(TEXT(Tabla1[[#This Row],[FECHA INF]],"MMMM"))</f>
        <v>SEPTIEMBRE</v>
      </c>
      <c r="L85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0306-24</v>
      </c>
    </row>
    <row r="851" spans="1:12" x14ac:dyDescent="0.25">
      <c r="A851" s="52">
        <v>45565</v>
      </c>
      <c r="B851" s="27" t="s">
        <v>854</v>
      </c>
      <c r="C851" s="2" t="s">
        <v>1705</v>
      </c>
      <c r="D851" s="2">
        <v>9</v>
      </c>
      <c r="E851" s="27" t="s">
        <v>123</v>
      </c>
      <c r="F851" t="s">
        <v>15</v>
      </c>
      <c r="G851" s="47"/>
      <c r="H851" s="102"/>
      <c r="I851" s="63" t="s">
        <v>1005</v>
      </c>
      <c r="J851" t="str">
        <f>CONCATENATE(Tabla1[[#This Row],[OBRA]],"/",Tabla1[[#This Row],[CODIGO ENSAYO]])</f>
        <v>8-1/1-1</v>
      </c>
      <c r="K851" s="2" t="str">
        <f>UPPER(TEXT(Tabla1[[#This Row],[FECHA INF]],"MMMM"))</f>
        <v>SEPTIEMBRE</v>
      </c>
      <c r="L85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0307-24</v>
      </c>
    </row>
    <row r="852" spans="1:12" hidden="1" x14ac:dyDescent="0.25">
      <c r="A852" s="52">
        <v>45565</v>
      </c>
      <c r="B852" s="27" t="s">
        <v>148</v>
      </c>
      <c r="C852" s="2" t="s">
        <v>1719</v>
      </c>
      <c r="D852" s="2">
        <v>2</v>
      </c>
      <c r="E852" s="27" t="s">
        <v>123</v>
      </c>
      <c r="F852" t="s">
        <v>15</v>
      </c>
      <c r="G852" s="47"/>
      <c r="H852" s="102"/>
      <c r="I852" s="63"/>
      <c r="J852" t="str">
        <f>CONCATENATE(Tabla1[[#This Row],[OBRA]],"/",Tabla1[[#This Row],[CODIGO ENSAYO]])</f>
        <v>3-1/1-1</v>
      </c>
      <c r="K852" s="2" t="str">
        <f>UPPER(TEXT(Tabla1[[#This Row],[FECHA INF]],"MMMM"))</f>
        <v>SEPTIEMBRE</v>
      </c>
      <c r="L85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0308-24</v>
      </c>
    </row>
    <row r="853" spans="1:12" hidden="1" x14ac:dyDescent="0.25">
      <c r="A853" s="52">
        <v>45565</v>
      </c>
      <c r="B853" s="27" t="s">
        <v>148</v>
      </c>
      <c r="C853" s="2" t="s">
        <v>1720</v>
      </c>
      <c r="D853" s="2">
        <v>1</v>
      </c>
      <c r="E853" s="27" t="s">
        <v>123</v>
      </c>
      <c r="F853" t="s">
        <v>15</v>
      </c>
      <c r="G853" s="47"/>
      <c r="H853" s="102"/>
      <c r="I853" s="63"/>
      <c r="J853" t="str">
        <f>CONCATENATE(Tabla1[[#This Row],[OBRA]],"/",Tabla1[[#This Row],[CODIGO ENSAYO]])</f>
        <v>3-1/1-1</v>
      </c>
      <c r="K853" s="2" t="str">
        <f>UPPER(TEXT(Tabla1[[#This Row],[FECHA INF]],"MMMM"))</f>
        <v>SEPTIEMBRE</v>
      </c>
      <c r="L85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0309-24</v>
      </c>
    </row>
    <row r="854" spans="1:12" x14ac:dyDescent="0.25">
      <c r="A854" s="52">
        <v>45565</v>
      </c>
      <c r="B854" s="27" t="s">
        <v>854</v>
      </c>
      <c r="C854" s="2" t="s">
        <v>1706</v>
      </c>
      <c r="D854" s="2">
        <v>3</v>
      </c>
      <c r="E854" s="27" t="s">
        <v>123</v>
      </c>
      <c r="F854" t="s">
        <v>15</v>
      </c>
      <c r="G854" s="47"/>
      <c r="H854" s="102"/>
      <c r="I854" s="63" t="s">
        <v>1005</v>
      </c>
      <c r="J854" t="str">
        <f>CONCATENATE(Tabla1[[#This Row],[OBRA]],"/",Tabla1[[#This Row],[CODIGO ENSAYO]])</f>
        <v>8-1/1-1</v>
      </c>
      <c r="K854" s="2" t="str">
        <f>UPPER(TEXT(Tabla1[[#This Row],[FECHA INF]],"MMMM"))</f>
        <v>SEPTIEMBRE</v>
      </c>
      <c r="L85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0310-24</v>
      </c>
    </row>
    <row r="855" spans="1:12" x14ac:dyDescent="0.25">
      <c r="A855" s="52">
        <v>45565</v>
      </c>
      <c r="B855" s="27" t="s">
        <v>854</v>
      </c>
      <c r="C855" s="2" t="s">
        <v>1708</v>
      </c>
      <c r="D855" s="2">
        <v>9</v>
      </c>
      <c r="E855" s="27" t="s">
        <v>123</v>
      </c>
      <c r="F855" t="s">
        <v>15</v>
      </c>
      <c r="G855" s="47"/>
      <c r="H855" s="102"/>
      <c r="I855" s="63" t="s">
        <v>1005</v>
      </c>
      <c r="J855" t="str">
        <f>CONCATENATE(Tabla1[[#This Row],[OBRA]],"/",Tabla1[[#This Row],[CODIGO ENSAYO]])</f>
        <v>8-1/1-1</v>
      </c>
      <c r="K855" s="2" t="str">
        <f>UPPER(TEXT(Tabla1[[#This Row],[FECHA INF]],"MMMM"))</f>
        <v>SEPTIEMBRE</v>
      </c>
      <c r="L85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0312-24</v>
      </c>
    </row>
    <row r="856" spans="1:12" x14ac:dyDescent="0.25">
      <c r="A856" s="52">
        <v>45565</v>
      </c>
      <c r="B856" s="27" t="s">
        <v>854</v>
      </c>
      <c r="C856" s="2" t="s">
        <v>1709</v>
      </c>
      <c r="D856" s="2">
        <v>6</v>
      </c>
      <c r="E856" s="27" t="s">
        <v>123</v>
      </c>
      <c r="F856" t="s">
        <v>15</v>
      </c>
      <c r="G856" s="47"/>
      <c r="H856" s="102"/>
      <c r="I856" s="63" t="s">
        <v>1005</v>
      </c>
      <c r="J856" t="str">
        <f>CONCATENATE(Tabla1[[#This Row],[OBRA]],"/",Tabla1[[#This Row],[CODIGO ENSAYO]])</f>
        <v>8-1/1-1</v>
      </c>
      <c r="K856" s="2" t="str">
        <f>UPPER(TEXT(Tabla1[[#This Row],[FECHA INF]],"MMMM"))</f>
        <v>SEPTIEMBRE</v>
      </c>
      <c r="L85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0313-24</v>
      </c>
    </row>
    <row r="857" spans="1:12" x14ac:dyDescent="0.25">
      <c r="A857" s="52">
        <v>45565</v>
      </c>
      <c r="B857" s="27" t="s">
        <v>854</v>
      </c>
      <c r="C857" s="2" t="s">
        <v>1710</v>
      </c>
      <c r="D857" s="2">
        <v>3</v>
      </c>
      <c r="E857" s="27" t="s">
        <v>123</v>
      </c>
      <c r="F857" t="s">
        <v>15</v>
      </c>
      <c r="G857" s="47"/>
      <c r="H857" s="102"/>
      <c r="I857" s="63" t="s">
        <v>1005</v>
      </c>
      <c r="J857" t="str">
        <f>CONCATENATE(Tabla1[[#This Row],[OBRA]],"/",Tabla1[[#This Row],[CODIGO ENSAYO]])</f>
        <v>8-1/1-1</v>
      </c>
      <c r="K857" s="2" t="str">
        <f>UPPER(TEXT(Tabla1[[#This Row],[FECHA INF]],"MMMM"))</f>
        <v>SEPTIEMBRE</v>
      </c>
      <c r="L85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0314-24</v>
      </c>
    </row>
    <row r="858" spans="1:12" x14ac:dyDescent="0.25">
      <c r="A858" s="52">
        <v>45565</v>
      </c>
      <c r="B858" s="27" t="s">
        <v>854</v>
      </c>
      <c r="C858" s="2" t="s">
        <v>1711</v>
      </c>
      <c r="D858" s="2">
        <v>6</v>
      </c>
      <c r="E858" s="27" t="s">
        <v>123</v>
      </c>
      <c r="F858" t="s">
        <v>15</v>
      </c>
      <c r="G858" s="47"/>
      <c r="H858" s="102"/>
      <c r="I858" s="63" t="s">
        <v>1005</v>
      </c>
      <c r="J858" t="str">
        <f>CONCATENATE(Tabla1[[#This Row],[OBRA]],"/",Tabla1[[#This Row],[CODIGO ENSAYO]])</f>
        <v>8-1/1-1</v>
      </c>
      <c r="K858" s="2" t="str">
        <f>UPPER(TEXT(Tabla1[[#This Row],[FECHA INF]],"MMMM"))</f>
        <v>SEPTIEMBRE</v>
      </c>
      <c r="L85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0315-24</v>
      </c>
    </row>
    <row r="859" spans="1:12" x14ac:dyDescent="0.25">
      <c r="A859" s="52">
        <v>45565</v>
      </c>
      <c r="B859" s="27" t="s">
        <v>854</v>
      </c>
      <c r="C859" s="2" t="s">
        <v>1712</v>
      </c>
      <c r="D859" s="2">
        <v>9</v>
      </c>
      <c r="E859" s="27" t="s">
        <v>123</v>
      </c>
      <c r="F859" t="s">
        <v>15</v>
      </c>
      <c r="G859" s="47"/>
      <c r="H859" s="102"/>
      <c r="I859" s="63" t="s">
        <v>1005</v>
      </c>
      <c r="J859" t="str">
        <f>CONCATENATE(Tabla1[[#This Row],[OBRA]],"/",Tabla1[[#This Row],[CODIGO ENSAYO]])</f>
        <v>8-1/1-1</v>
      </c>
      <c r="K859" s="2" t="str">
        <f>UPPER(TEXT(Tabla1[[#This Row],[FECHA INF]],"MMMM"))</f>
        <v>SEPTIEMBRE</v>
      </c>
      <c r="L85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0316-24</v>
      </c>
    </row>
    <row r="860" spans="1:12" x14ac:dyDescent="0.25">
      <c r="A860" s="52">
        <v>45565</v>
      </c>
      <c r="B860" s="27" t="s">
        <v>854</v>
      </c>
      <c r="C860" s="2" t="s">
        <v>1713</v>
      </c>
      <c r="D860" s="2">
        <v>3</v>
      </c>
      <c r="E860" s="27" t="s">
        <v>123</v>
      </c>
      <c r="F860" t="s">
        <v>15</v>
      </c>
      <c r="G860" s="47"/>
      <c r="H860" s="102"/>
      <c r="I860" s="63" t="s">
        <v>1005</v>
      </c>
      <c r="J860" t="str">
        <f>CONCATENATE(Tabla1[[#This Row],[OBRA]],"/",Tabla1[[#This Row],[CODIGO ENSAYO]])</f>
        <v>8-1/1-1</v>
      </c>
      <c r="K860" s="2" t="str">
        <f>UPPER(TEXT(Tabla1[[#This Row],[FECHA INF]],"MMMM"))</f>
        <v>SEPTIEMBRE</v>
      </c>
      <c r="L86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0317-24</v>
      </c>
    </row>
    <row r="861" spans="1:12" x14ac:dyDescent="0.25">
      <c r="A861" s="52">
        <v>45565</v>
      </c>
      <c r="B861" s="27" t="s">
        <v>854</v>
      </c>
      <c r="C861" s="2" t="s">
        <v>1714</v>
      </c>
      <c r="D861" s="2">
        <v>6</v>
      </c>
      <c r="E861" s="27" t="s">
        <v>123</v>
      </c>
      <c r="F861" t="s">
        <v>15</v>
      </c>
      <c r="G861" s="47"/>
      <c r="H861" s="102"/>
      <c r="I861" s="63" t="s">
        <v>1005</v>
      </c>
      <c r="J861" t="str">
        <f>CONCATENATE(Tabla1[[#This Row],[OBRA]],"/",Tabla1[[#This Row],[CODIGO ENSAYO]])</f>
        <v>8-1/1-1</v>
      </c>
      <c r="K861" s="2" t="str">
        <f>UPPER(TEXT(Tabla1[[#This Row],[FECHA INF]],"MMMM"))</f>
        <v>SEPTIEMBRE</v>
      </c>
      <c r="L86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0318-24</v>
      </c>
    </row>
    <row r="862" spans="1:12" x14ac:dyDescent="0.25">
      <c r="A862" s="52">
        <v>45565</v>
      </c>
      <c r="B862" s="27" t="s">
        <v>854</v>
      </c>
      <c r="C862" s="2" t="s">
        <v>1693</v>
      </c>
      <c r="D862" s="2">
        <v>1</v>
      </c>
      <c r="E862" s="27" t="s">
        <v>139</v>
      </c>
      <c r="F862" t="s">
        <v>468</v>
      </c>
      <c r="G862" s="47"/>
      <c r="H862" s="102"/>
      <c r="I862" s="63" t="s">
        <v>1005</v>
      </c>
      <c r="J862" t="str">
        <f>CONCATENATE(Tabla1[[#This Row],[OBRA]],"/",Tabla1[[#This Row],[CODIGO ENSAYO]])</f>
        <v>8-1/2-3</v>
      </c>
      <c r="K862" s="2" t="str">
        <f>UPPER(TEXT(Tabla1[[#This Row],[FECHA INF]],"MMMM"))</f>
        <v>SEPTIEMBRE</v>
      </c>
      <c r="L86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0319-24</v>
      </c>
    </row>
    <row r="863" spans="1:12" x14ac:dyDescent="0.25">
      <c r="A863" s="52">
        <v>45565</v>
      </c>
      <c r="B863" s="27" t="s">
        <v>854</v>
      </c>
      <c r="C863" s="2" t="s">
        <v>1694</v>
      </c>
      <c r="D863" s="2">
        <v>1</v>
      </c>
      <c r="E863" s="27" t="s">
        <v>163</v>
      </c>
      <c r="F863" t="s">
        <v>2</v>
      </c>
      <c r="G863" s="47"/>
      <c r="H863" s="102"/>
      <c r="I863" s="63" t="s">
        <v>1005</v>
      </c>
      <c r="J863" t="str">
        <f>CONCATENATE(Tabla1[[#This Row],[OBRA]],"/",Tabla1[[#This Row],[CODIGO ENSAYO]])</f>
        <v>8-1/4-9</v>
      </c>
      <c r="K863" s="2" t="str">
        <f>UPPER(TEXT(Tabla1[[#This Row],[FECHA INF]],"MMMM"))</f>
        <v>SEPTIEMBRE</v>
      </c>
      <c r="L86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0320-24</v>
      </c>
    </row>
    <row r="864" spans="1:12" x14ac:dyDescent="0.25">
      <c r="A864" s="52">
        <v>45565</v>
      </c>
      <c r="B864" s="27" t="s">
        <v>854</v>
      </c>
      <c r="C864" s="2" t="s">
        <v>1695</v>
      </c>
      <c r="D864" s="2">
        <v>1</v>
      </c>
      <c r="E864" s="27" t="s">
        <v>159</v>
      </c>
      <c r="F864" t="s">
        <v>39</v>
      </c>
      <c r="G864" s="47"/>
      <c r="H864" s="102"/>
      <c r="I864" s="63" t="s">
        <v>1005</v>
      </c>
      <c r="J864" t="str">
        <f>CONCATENATE(Tabla1[[#This Row],[OBRA]],"/",Tabla1[[#This Row],[CODIGO ENSAYO]])</f>
        <v>8-1/4-4</v>
      </c>
      <c r="K864" s="2" t="str">
        <f>UPPER(TEXT(Tabla1[[#This Row],[FECHA INF]],"MMMM"))</f>
        <v>SEPTIEMBRE</v>
      </c>
      <c r="L86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0321-24</v>
      </c>
    </row>
    <row r="865" spans="1:12" x14ac:dyDescent="0.25">
      <c r="A865" s="52">
        <v>45565</v>
      </c>
      <c r="B865" s="27" t="s">
        <v>854</v>
      </c>
      <c r="C865" s="2" t="s">
        <v>1696</v>
      </c>
      <c r="D865" s="2">
        <v>1</v>
      </c>
      <c r="E865" s="27" t="s">
        <v>139</v>
      </c>
      <c r="F865" t="s">
        <v>468</v>
      </c>
      <c r="G865" s="47"/>
      <c r="H865" s="102"/>
      <c r="I865" s="63" t="s">
        <v>1005</v>
      </c>
      <c r="J865" t="str">
        <f>CONCATENATE(Tabla1[[#This Row],[OBRA]],"/",Tabla1[[#This Row],[CODIGO ENSAYO]])</f>
        <v>8-1/2-3</v>
      </c>
      <c r="K865" s="2" t="str">
        <f>UPPER(TEXT(Tabla1[[#This Row],[FECHA INF]],"MMMM"))</f>
        <v>SEPTIEMBRE</v>
      </c>
      <c r="L86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0322-24</v>
      </c>
    </row>
    <row r="866" spans="1:12" x14ac:dyDescent="0.25">
      <c r="A866" s="52">
        <v>45565</v>
      </c>
      <c r="B866" s="27" t="s">
        <v>854</v>
      </c>
      <c r="C866" s="2" t="s">
        <v>1697</v>
      </c>
      <c r="D866" s="2">
        <v>1</v>
      </c>
      <c r="E866" s="27" t="s">
        <v>166</v>
      </c>
      <c r="F866" t="s">
        <v>44</v>
      </c>
      <c r="G866" s="47"/>
      <c r="H866" s="102"/>
      <c r="I866" s="63" t="s">
        <v>1005</v>
      </c>
      <c r="J866" t="str">
        <f>CONCATENATE(Tabla1[[#This Row],[OBRA]],"/",Tabla1[[#This Row],[CODIGO ENSAYO]])</f>
        <v>8-1/4-12</v>
      </c>
      <c r="K866" s="2" t="str">
        <f>UPPER(TEXT(Tabla1[[#This Row],[FECHA INF]],"MMMM"))</f>
        <v>SEPTIEMBRE</v>
      </c>
      <c r="L86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0323-24</v>
      </c>
    </row>
    <row r="867" spans="1:12" x14ac:dyDescent="0.25">
      <c r="A867" s="52">
        <v>45565</v>
      </c>
      <c r="B867" s="27" t="s">
        <v>854</v>
      </c>
      <c r="C867" s="2" t="s">
        <v>1698</v>
      </c>
      <c r="D867" s="2">
        <v>1</v>
      </c>
      <c r="E867" s="27" t="s">
        <v>158</v>
      </c>
      <c r="F867" t="s">
        <v>38</v>
      </c>
      <c r="G867" s="47"/>
      <c r="H867" s="102"/>
      <c r="I867" s="63" t="s">
        <v>1005</v>
      </c>
      <c r="J867" t="str">
        <f>CONCATENATE(Tabla1[[#This Row],[OBRA]],"/",Tabla1[[#This Row],[CODIGO ENSAYO]])</f>
        <v>8-1/4-3</v>
      </c>
      <c r="K867" s="2" t="str">
        <f>UPPER(TEXT(Tabla1[[#This Row],[FECHA INF]],"MMMM"))</f>
        <v>SEPTIEMBRE</v>
      </c>
      <c r="L86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0324-24</v>
      </c>
    </row>
    <row r="868" spans="1:12" hidden="1" x14ac:dyDescent="0.25">
      <c r="A868" s="52">
        <v>45596</v>
      </c>
      <c r="B868" s="27" t="s">
        <v>522</v>
      </c>
      <c r="C868" s="2" t="s">
        <v>1765</v>
      </c>
      <c r="D868" s="2">
        <v>4</v>
      </c>
      <c r="E868" s="27" t="s">
        <v>175</v>
      </c>
      <c r="F868" t="s">
        <v>390</v>
      </c>
      <c r="G868" s="47"/>
      <c r="H868" s="102"/>
      <c r="I868" s="63" t="s">
        <v>1005</v>
      </c>
      <c r="J868" t="str">
        <f>CONCATENATE(Tabla1[[#This Row],[OBRA]],"/",Tabla1[[#This Row],[CODIGO ENSAYO]])</f>
        <v>17-1/7-1</v>
      </c>
      <c r="K868" s="2" t="str">
        <f>UPPER(TEXT(Tabla1[[#This Row],[FECHA INF]],"MMMM"))</f>
        <v>OCTUBRE</v>
      </c>
      <c r="L86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(Transporte de 07-08-15-18-22 de Octubre de 2024)</v>
      </c>
    </row>
    <row r="869" spans="1:12" hidden="1" x14ac:dyDescent="0.25">
      <c r="A869" s="52">
        <v>45596</v>
      </c>
      <c r="B869" s="27" t="s">
        <v>522</v>
      </c>
      <c r="C869" s="2" t="s">
        <v>1748</v>
      </c>
      <c r="D869" s="2">
        <v>1</v>
      </c>
      <c r="E869" s="27" t="s">
        <v>11</v>
      </c>
      <c r="F869" t="s">
        <v>784</v>
      </c>
      <c r="G869" s="47"/>
      <c r="H869" s="102"/>
      <c r="I869" s="63" t="s">
        <v>1005</v>
      </c>
      <c r="J869" t="str">
        <f>CONCATENATE(Tabla1[[#This Row],[OBRA]],"/",Tabla1[[#This Row],[CODIGO ENSAYO]])</f>
        <v>17-1/13-1</v>
      </c>
      <c r="K869" s="2" t="str">
        <f>UPPER(TEXT(Tabla1[[#This Row],[FECHA INF]],"MMMM"))</f>
        <v>OCTUBRE</v>
      </c>
      <c r="L86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0274A-24</v>
      </c>
    </row>
    <row r="870" spans="1:12" hidden="1" x14ac:dyDescent="0.25">
      <c r="A870" s="52">
        <v>45596</v>
      </c>
      <c r="B870" s="27" t="s">
        <v>522</v>
      </c>
      <c r="C870" s="2" t="s">
        <v>1749</v>
      </c>
      <c r="D870" s="2">
        <v>1</v>
      </c>
      <c r="E870" s="27" t="s">
        <v>493</v>
      </c>
      <c r="F870" t="s">
        <v>374</v>
      </c>
      <c r="G870" s="47"/>
      <c r="H870" s="102"/>
      <c r="I870" s="63" t="s">
        <v>1005</v>
      </c>
      <c r="J870" t="str">
        <f>CONCATENATE(Tabla1[[#This Row],[OBRA]],"/",Tabla1[[#This Row],[CODIGO ENSAYO]])</f>
        <v>17-1/13-9</v>
      </c>
      <c r="K870" s="2" t="str">
        <f>UPPER(TEXT(Tabla1[[#This Row],[FECHA INF]],"MMMM"))</f>
        <v>OCTUBRE</v>
      </c>
      <c r="L87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0275A-24</v>
      </c>
    </row>
    <row r="871" spans="1:12" hidden="1" x14ac:dyDescent="0.25">
      <c r="A871" s="52">
        <v>45596</v>
      </c>
      <c r="B871" s="27" t="s">
        <v>522</v>
      </c>
      <c r="C871" s="2" t="s">
        <v>1750</v>
      </c>
      <c r="D871" s="2">
        <v>1</v>
      </c>
      <c r="E871" s="27" t="s">
        <v>11</v>
      </c>
      <c r="F871" t="s">
        <v>784</v>
      </c>
      <c r="G871" s="47"/>
      <c r="H871" s="102"/>
      <c r="I871" s="63" t="s">
        <v>1005</v>
      </c>
      <c r="J871" t="str">
        <f>CONCATENATE(Tabla1[[#This Row],[OBRA]],"/",Tabla1[[#This Row],[CODIGO ENSAYO]])</f>
        <v>17-1/13-1</v>
      </c>
      <c r="K871" s="2" t="str">
        <f>UPPER(TEXT(Tabla1[[#This Row],[FECHA INF]],"MMMM"))</f>
        <v>OCTUBRE</v>
      </c>
      <c r="L87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0276A-24</v>
      </c>
    </row>
    <row r="872" spans="1:12" hidden="1" x14ac:dyDescent="0.25">
      <c r="A872" s="52">
        <v>45596</v>
      </c>
      <c r="B872" s="27" t="s">
        <v>522</v>
      </c>
      <c r="C872" s="2" t="s">
        <v>1751</v>
      </c>
      <c r="D872" s="2">
        <v>1</v>
      </c>
      <c r="E872" s="27" t="s">
        <v>493</v>
      </c>
      <c r="F872" t="s">
        <v>374</v>
      </c>
      <c r="G872" s="47"/>
      <c r="H872" s="102"/>
      <c r="I872" s="63" t="s">
        <v>1005</v>
      </c>
      <c r="J872" t="str">
        <f>CONCATENATE(Tabla1[[#This Row],[OBRA]],"/",Tabla1[[#This Row],[CODIGO ENSAYO]])</f>
        <v>17-1/13-9</v>
      </c>
      <c r="K872" s="2" t="str">
        <f>UPPER(TEXT(Tabla1[[#This Row],[FECHA INF]],"MMMM"))</f>
        <v>OCTUBRE</v>
      </c>
      <c r="L87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0277A-24</v>
      </c>
    </row>
    <row r="873" spans="1:12" hidden="1" x14ac:dyDescent="0.25">
      <c r="A873" s="52">
        <v>45596</v>
      </c>
      <c r="B873" s="27" t="s">
        <v>522</v>
      </c>
      <c r="C873" s="2" t="s">
        <v>1752</v>
      </c>
      <c r="D873" s="2">
        <v>1</v>
      </c>
      <c r="E873" s="27" t="s">
        <v>224</v>
      </c>
      <c r="F873" t="s">
        <v>785</v>
      </c>
      <c r="G873" s="47"/>
      <c r="H873" s="102"/>
      <c r="I873" s="63" t="s">
        <v>1005</v>
      </c>
      <c r="J873" t="str">
        <f>CONCATENATE(Tabla1[[#This Row],[OBRA]],"/",Tabla1[[#This Row],[CODIGO ENSAYO]])</f>
        <v>17-1/13-2</v>
      </c>
      <c r="K873" s="2" t="str">
        <f>UPPER(TEXT(Tabla1[[#This Row],[FECHA INF]],"MMMM"))</f>
        <v>OCTUBRE</v>
      </c>
      <c r="L87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0278A-24</v>
      </c>
    </row>
    <row r="874" spans="1:12" hidden="1" x14ac:dyDescent="0.25">
      <c r="A874" s="52">
        <v>45596</v>
      </c>
      <c r="B874" s="27" t="s">
        <v>522</v>
      </c>
      <c r="C874" s="2" t="s">
        <v>1753</v>
      </c>
      <c r="D874" s="2">
        <v>1</v>
      </c>
      <c r="E874" s="27" t="s">
        <v>493</v>
      </c>
      <c r="F874" t="s">
        <v>374</v>
      </c>
      <c r="G874" s="47"/>
      <c r="H874" s="102"/>
      <c r="I874" s="63" t="s">
        <v>1005</v>
      </c>
      <c r="J874" t="str">
        <f>CONCATENATE(Tabla1[[#This Row],[OBRA]],"/",Tabla1[[#This Row],[CODIGO ENSAYO]])</f>
        <v>17-1/13-9</v>
      </c>
      <c r="K874" s="2" t="str">
        <f>UPPER(TEXT(Tabla1[[#This Row],[FECHA INF]],"MMMM"))</f>
        <v>OCTUBRE</v>
      </c>
      <c r="L87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0279A-24</v>
      </c>
    </row>
    <row r="875" spans="1:12" hidden="1" x14ac:dyDescent="0.25">
      <c r="A875" s="52">
        <v>45596</v>
      </c>
      <c r="B875" s="27" t="s">
        <v>522</v>
      </c>
      <c r="C875" s="2" t="s">
        <v>1754</v>
      </c>
      <c r="D875" s="2">
        <v>1</v>
      </c>
      <c r="E875" s="27" t="s">
        <v>224</v>
      </c>
      <c r="F875" t="s">
        <v>785</v>
      </c>
      <c r="G875" s="47"/>
      <c r="H875" s="102"/>
      <c r="I875" s="63" t="s">
        <v>1005</v>
      </c>
      <c r="J875" t="str">
        <f>CONCATENATE(Tabla1[[#This Row],[OBRA]],"/",Tabla1[[#This Row],[CODIGO ENSAYO]])</f>
        <v>17-1/13-2</v>
      </c>
      <c r="K875" s="2" t="str">
        <f>UPPER(TEXT(Tabla1[[#This Row],[FECHA INF]],"MMMM"))</f>
        <v>OCTUBRE</v>
      </c>
      <c r="L87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0280A-24</v>
      </c>
    </row>
    <row r="876" spans="1:12" hidden="1" x14ac:dyDescent="0.25">
      <c r="A876" s="52">
        <v>45596</v>
      </c>
      <c r="B876" s="27" t="s">
        <v>522</v>
      </c>
      <c r="C876" s="2" t="s">
        <v>1755</v>
      </c>
      <c r="D876" s="2">
        <v>1</v>
      </c>
      <c r="E876" s="27" t="s">
        <v>493</v>
      </c>
      <c r="F876" t="s">
        <v>374</v>
      </c>
      <c r="G876" s="47"/>
      <c r="H876" s="102"/>
      <c r="I876" s="63" t="s">
        <v>1005</v>
      </c>
      <c r="J876" t="str">
        <f>CONCATENATE(Tabla1[[#This Row],[OBRA]],"/",Tabla1[[#This Row],[CODIGO ENSAYO]])</f>
        <v>17-1/13-9</v>
      </c>
      <c r="K876" s="2" t="str">
        <f>UPPER(TEXT(Tabla1[[#This Row],[FECHA INF]],"MMMM"))</f>
        <v>OCTUBRE</v>
      </c>
      <c r="L87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0281A-24</v>
      </c>
    </row>
    <row r="877" spans="1:12" hidden="1" x14ac:dyDescent="0.25">
      <c r="A877" s="52">
        <v>45596</v>
      </c>
      <c r="B877" s="27" t="s">
        <v>522</v>
      </c>
      <c r="C877" s="2" t="s">
        <v>1756</v>
      </c>
      <c r="D877" s="2">
        <v>1</v>
      </c>
      <c r="E877" s="27" t="s">
        <v>224</v>
      </c>
      <c r="F877" t="s">
        <v>785</v>
      </c>
      <c r="G877" s="47"/>
      <c r="H877" s="102"/>
      <c r="I877" s="63" t="s">
        <v>1005</v>
      </c>
      <c r="J877" t="str">
        <f>CONCATENATE(Tabla1[[#This Row],[OBRA]],"/",Tabla1[[#This Row],[CODIGO ENSAYO]])</f>
        <v>17-1/13-2</v>
      </c>
      <c r="K877" s="2" t="str">
        <f>UPPER(TEXT(Tabla1[[#This Row],[FECHA INF]],"MMMM"))</f>
        <v>OCTUBRE</v>
      </c>
      <c r="L87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0282A-24</v>
      </c>
    </row>
    <row r="878" spans="1:12" hidden="1" x14ac:dyDescent="0.25">
      <c r="A878" s="52">
        <v>45596</v>
      </c>
      <c r="B878" s="27" t="s">
        <v>522</v>
      </c>
      <c r="C878" s="2" t="s">
        <v>1757</v>
      </c>
      <c r="D878" s="2">
        <v>1</v>
      </c>
      <c r="E878" s="27" t="s">
        <v>493</v>
      </c>
      <c r="F878" t="s">
        <v>374</v>
      </c>
      <c r="G878" s="47"/>
      <c r="H878" s="102"/>
      <c r="I878" s="63" t="s">
        <v>1005</v>
      </c>
      <c r="J878" t="str">
        <f>CONCATENATE(Tabla1[[#This Row],[OBRA]],"/",Tabla1[[#This Row],[CODIGO ENSAYO]])</f>
        <v>17-1/13-9</v>
      </c>
      <c r="K878" s="2" t="str">
        <f>UPPER(TEXT(Tabla1[[#This Row],[FECHA INF]],"MMMM"))</f>
        <v>OCTUBRE</v>
      </c>
      <c r="L87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0283A-24</v>
      </c>
    </row>
    <row r="879" spans="1:12" hidden="1" x14ac:dyDescent="0.25">
      <c r="A879" s="52">
        <v>45596</v>
      </c>
      <c r="B879" s="27" t="s">
        <v>522</v>
      </c>
      <c r="C879" s="2" t="s">
        <v>1758</v>
      </c>
      <c r="D879" s="2">
        <v>1</v>
      </c>
      <c r="E879" s="27" t="s">
        <v>225</v>
      </c>
      <c r="F879" t="s">
        <v>786</v>
      </c>
      <c r="G879" s="47"/>
      <c r="H879" s="102"/>
      <c r="I879" s="63" t="s">
        <v>1005</v>
      </c>
      <c r="J879" t="str">
        <f>CONCATENATE(Tabla1[[#This Row],[OBRA]],"/",Tabla1[[#This Row],[CODIGO ENSAYO]])</f>
        <v>17-1/13-3</v>
      </c>
      <c r="K879" s="2" t="str">
        <f>UPPER(TEXT(Tabla1[[#This Row],[FECHA INF]],"MMMM"))</f>
        <v>OCTUBRE</v>
      </c>
      <c r="L87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0284A-24</v>
      </c>
    </row>
    <row r="880" spans="1:12" hidden="1" x14ac:dyDescent="0.25">
      <c r="A880" s="52">
        <v>45596</v>
      </c>
      <c r="B880" s="27" t="s">
        <v>522</v>
      </c>
      <c r="C880" s="2" t="s">
        <v>1759</v>
      </c>
      <c r="D880" s="2">
        <v>1</v>
      </c>
      <c r="E880" s="27" t="s">
        <v>493</v>
      </c>
      <c r="F880" t="s">
        <v>374</v>
      </c>
      <c r="G880" s="47"/>
      <c r="H880" s="102"/>
      <c r="I880" s="63" t="s">
        <v>1005</v>
      </c>
      <c r="J880" t="str">
        <f>CONCATENATE(Tabla1[[#This Row],[OBRA]],"/",Tabla1[[#This Row],[CODIGO ENSAYO]])</f>
        <v>17-1/13-9</v>
      </c>
      <c r="K880" s="2" t="str">
        <f>UPPER(TEXT(Tabla1[[#This Row],[FECHA INF]],"MMMM"))</f>
        <v>OCTUBRE</v>
      </c>
      <c r="L88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0285A-24</v>
      </c>
    </row>
    <row r="881" spans="1:12" hidden="1" x14ac:dyDescent="0.25">
      <c r="A881" s="52">
        <v>45596</v>
      </c>
      <c r="B881" s="27" t="s">
        <v>522</v>
      </c>
      <c r="C881" s="2" t="s">
        <v>1760</v>
      </c>
      <c r="D881" s="2">
        <v>1</v>
      </c>
      <c r="E881" s="27" t="s">
        <v>421</v>
      </c>
      <c r="F881" t="s">
        <v>788</v>
      </c>
      <c r="G881" s="47"/>
      <c r="H881" s="102"/>
      <c r="I881" s="63" t="s">
        <v>1005</v>
      </c>
      <c r="J881" t="str">
        <f>CONCATENATE(Tabla1[[#This Row],[OBRA]],"/",Tabla1[[#This Row],[CODIGO ENSAYO]])</f>
        <v>17-1/13-7</v>
      </c>
      <c r="K881" s="2" t="str">
        <f>UPPER(TEXT(Tabla1[[#This Row],[FECHA INF]],"MMMM"))</f>
        <v>OCTUBRE</v>
      </c>
      <c r="L88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0286A-24</v>
      </c>
    </row>
    <row r="882" spans="1:12" x14ac:dyDescent="0.25">
      <c r="A882" s="52">
        <v>45596</v>
      </c>
      <c r="B882" s="27" t="s">
        <v>854</v>
      </c>
      <c r="C882" s="2" t="s">
        <v>1732</v>
      </c>
      <c r="D882" s="2">
        <v>9</v>
      </c>
      <c r="E882" s="27" t="s">
        <v>123</v>
      </c>
      <c r="F882" t="s">
        <v>15</v>
      </c>
      <c r="G882" s="47"/>
      <c r="H882" s="102"/>
      <c r="I882" s="63" t="s">
        <v>1005</v>
      </c>
      <c r="J882" t="str">
        <f>CONCATENATE(Tabla1[[#This Row],[OBRA]],"/",Tabla1[[#This Row],[CODIGO ENSAYO]])</f>
        <v>8-1/1-1</v>
      </c>
      <c r="K882" s="2" t="str">
        <f>UPPER(TEXT(Tabla1[[#This Row],[FECHA INF]],"MMMM"))</f>
        <v>OCTUBRE</v>
      </c>
      <c r="L88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0326-24</v>
      </c>
    </row>
    <row r="883" spans="1:12" x14ac:dyDescent="0.25">
      <c r="A883" s="52">
        <v>45596</v>
      </c>
      <c r="B883" s="27" t="s">
        <v>854</v>
      </c>
      <c r="C883" s="2" t="s">
        <v>1733</v>
      </c>
      <c r="D883" s="2">
        <v>3</v>
      </c>
      <c r="E883" s="27" t="s">
        <v>123</v>
      </c>
      <c r="F883" t="s">
        <v>15</v>
      </c>
      <c r="G883" s="47"/>
      <c r="H883" s="102"/>
      <c r="I883" s="63" t="s">
        <v>1005</v>
      </c>
      <c r="J883" t="str">
        <f>CONCATENATE(Tabla1[[#This Row],[OBRA]],"/",Tabla1[[#This Row],[CODIGO ENSAYO]])</f>
        <v>8-1/1-1</v>
      </c>
      <c r="K883" s="2" t="str">
        <f>UPPER(TEXT(Tabla1[[#This Row],[FECHA INF]],"MMMM"))</f>
        <v>OCTUBRE</v>
      </c>
      <c r="L88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0327-24</v>
      </c>
    </row>
    <row r="884" spans="1:12" x14ac:dyDescent="0.25">
      <c r="A884" s="52">
        <v>45596</v>
      </c>
      <c r="B884" s="27" t="s">
        <v>854</v>
      </c>
      <c r="C884" s="2" t="s">
        <v>1734</v>
      </c>
      <c r="D884" s="2">
        <v>3</v>
      </c>
      <c r="E884" s="27" t="s">
        <v>123</v>
      </c>
      <c r="F884" t="s">
        <v>15</v>
      </c>
      <c r="G884" s="47"/>
      <c r="H884" s="102"/>
      <c r="I884" s="63" t="s">
        <v>1005</v>
      </c>
      <c r="J884" t="str">
        <f>CONCATENATE(Tabla1[[#This Row],[OBRA]],"/",Tabla1[[#This Row],[CODIGO ENSAYO]])</f>
        <v>8-1/1-1</v>
      </c>
      <c r="K884" s="2" t="str">
        <f>UPPER(TEXT(Tabla1[[#This Row],[FECHA INF]],"MMMM"))</f>
        <v>OCTUBRE</v>
      </c>
      <c r="L88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0328-24</v>
      </c>
    </row>
    <row r="885" spans="1:12" x14ac:dyDescent="0.25">
      <c r="A885" s="52">
        <v>45596</v>
      </c>
      <c r="B885" s="27" t="s">
        <v>854</v>
      </c>
      <c r="C885" s="2" t="s">
        <v>1735</v>
      </c>
      <c r="D885" s="2">
        <v>3</v>
      </c>
      <c r="E885" s="27" t="s">
        <v>123</v>
      </c>
      <c r="F885" t="s">
        <v>15</v>
      </c>
      <c r="G885" s="47"/>
      <c r="H885" s="102"/>
      <c r="I885" s="63" t="s">
        <v>1005</v>
      </c>
      <c r="J885" t="str">
        <f>CONCATENATE(Tabla1[[#This Row],[OBRA]],"/",Tabla1[[#This Row],[CODIGO ENSAYO]])</f>
        <v>8-1/1-1</v>
      </c>
      <c r="K885" s="2" t="str">
        <f>UPPER(TEXT(Tabla1[[#This Row],[FECHA INF]],"MMMM"))</f>
        <v>OCTUBRE</v>
      </c>
      <c r="L88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0329-24</v>
      </c>
    </row>
    <row r="886" spans="1:12" hidden="1" x14ac:dyDescent="0.25">
      <c r="A886" s="52">
        <v>45596</v>
      </c>
      <c r="B886" s="27" t="s">
        <v>522</v>
      </c>
      <c r="C886" s="2" t="s">
        <v>1761</v>
      </c>
      <c r="D886" s="2">
        <v>6</v>
      </c>
      <c r="E886" s="27" t="s">
        <v>123</v>
      </c>
      <c r="F886" t="s">
        <v>15</v>
      </c>
      <c r="G886" s="47"/>
      <c r="H886" s="102"/>
      <c r="I886" s="63" t="s">
        <v>1005</v>
      </c>
      <c r="J886" t="str">
        <f>CONCATENATE(Tabla1[[#This Row],[OBRA]],"/",Tabla1[[#This Row],[CODIGO ENSAYO]])</f>
        <v>17-1/1-1</v>
      </c>
      <c r="K886" s="2" t="str">
        <f>UPPER(TEXT(Tabla1[[#This Row],[FECHA INF]],"MMMM"))</f>
        <v>OCTUBRE</v>
      </c>
      <c r="L88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0330-24</v>
      </c>
    </row>
    <row r="887" spans="1:12" x14ac:dyDescent="0.25">
      <c r="A887" s="52">
        <v>45596</v>
      </c>
      <c r="B887" s="27" t="s">
        <v>854</v>
      </c>
      <c r="C887" s="2" t="s">
        <v>1736</v>
      </c>
      <c r="D887" s="2">
        <v>3</v>
      </c>
      <c r="E887" s="27" t="s">
        <v>123</v>
      </c>
      <c r="F887" t="s">
        <v>15</v>
      </c>
      <c r="G887" s="47"/>
      <c r="H887" s="102"/>
      <c r="I887" s="63" t="s">
        <v>1005</v>
      </c>
      <c r="J887" t="str">
        <f>CONCATENATE(Tabla1[[#This Row],[OBRA]],"/",Tabla1[[#This Row],[CODIGO ENSAYO]])</f>
        <v>8-1/1-1</v>
      </c>
      <c r="K887" s="2" t="str">
        <f>UPPER(TEXT(Tabla1[[#This Row],[FECHA INF]],"MMMM"))</f>
        <v>OCTUBRE</v>
      </c>
      <c r="L88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0331-24</v>
      </c>
    </row>
    <row r="888" spans="1:12" hidden="1" x14ac:dyDescent="0.25">
      <c r="A888" s="52">
        <v>45596</v>
      </c>
      <c r="B888" s="27" t="s">
        <v>522</v>
      </c>
      <c r="C888" s="2" t="s">
        <v>1762</v>
      </c>
      <c r="D888" s="2">
        <v>3</v>
      </c>
      <c r="E888" s="27" t="s">
        <v>123</v>
      </c>
      <c r="F888" t="s">
        <v>15</v>
      </c>
      <c r="G888" s="47"/>
      <c r="H888" s="102"/>
      <c r="I888" s="63" t="s">
        <v>1005</v>
      </c>
      <c r="J888" t="str">
        <f>CONCATENATE(Tabla1[[#This Row],[OBRA]],"/",Tabla1[[#This Row],[CODIGO ENSAYO]])</f>
        <v>17-1/1-1</v>
      </c>
      <c r="K888" s="2" t="str">
        <f>UPPER(TEXT(Tabla1[[#This Row],[FECHA INF]],"MMMM"))</f>
        <v>OCTUBRE</v>
      </c>
      <c r="L88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0332-24</v>
      </c>
    </row>
    <row r="889" spans="1:12" x14ac:dyDescent="0.25">
      <c r="A889" s="52">
        <v>45596</v>
      </c>
      <c r="B889" s="27" t="s">
        <v>854</v>
      </c>
      <c r="C889" s="2" t="s">
        <v>1737</v>
      </c>
      <c r="D889" s="2">
        <v>3</v>
      </c>
      <c r="E889" s="27" t="s">
        <v>123</v>
      </c>
      <c r="F889" t="s">
        <v>15</v>
      </c>
      <c r="G889" s="47"/>
      <c r="H889" s="102"/>
      <c r="I889" s="63" t="s">
        <v>1005</v>
      </c>
      <c r="J889" t="str">
        <f>CONCATENATE(Tabla1[[#This Row],[OBRA]],"/",Tabla1[[#This Row],[CODIGO ENSAYO]])</f>
        <v>8-1/1-1</v>
      </c>
      <c r="K889" s="2" t="str">
        <f>UPPER(TEXT(Tabla1[[#This Row],[FECHA INF]],"MMMM"))</f>
        <v>OCTUBRE</v>
      </c>
      <c r="L88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0333-24</v>
      </c>
    </row>
    <row r="890" spans="1:12" hidden="1" x14ac:dyDescent="0.25">
      <c r="A890" s="52">
        <v>45596</v>
      </c>
      <c r="B890" s="27" t="s">
        <v>522</v>
      </c>
      <c r="C890" s="2" t="s">
        <v>1722</v>
      </c>
      <c r="D890" s="2">
        <v>2</v>
      </c>
      <c r="E890" s="27" t="s">
        <v>123</v>
      </c>
      <c r="F890" t="s">
        <v>15</v>
      </c>
      <c r="G890" s="47"/>
      <c r="H890" s="102"/>
      <c r="I890" s="63" t="s">
        <v>1005</v>
      </c>
      <c r="J890" t="str">
        <f>CONCATENATE(Tabla1[[#This Row],[OBRA]],"/",Tabla1[[#This Row],[CODIGO ENSAYO]])</f>
        <v>17-1/1-1</v>
      </c>
      <c r="K890" s="2" t="str">
        <f>UPPER(TEXT(Tabla1[[#This Row],[FECHA INF]],"MMMM"))</f>
        <v>OCTUBRE</v>
      </c>
      <c r="L89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0334-24</v>
      </c>
    </row>
    <row r="891" spans="1:12" hidden="1" x14ac:dyDescent="0.25">
      <c r="A891" s="52">
        <v>45596</v>
      </c>
      <c r="B891" s="27" t="s">
        <v>148</v>
      </c>
      <c r="C891" s="2" t="s">
        <v>1723</v>
      </c>
      <c r="D891" s="2">
        <v>3</v>
      </c>
      <c r="E891" s="27" t="s">
        <v>123</v>
      </c>
      <c r="F891" t="s">
        <v>15</v>
      </c>
      <c r="G891" s="47"/>
      <c r="H891" s="102"/>
      <c r="I891" s="63" t="s">
        <v>1005</v>
      </c>
      <c r="J891" t="str">
        <f>CONCATENATE(Tabla1[[#This Row],[OBRA]],"/",Tabla1[[#This Row],[CODIGO ENSAYO]])</f>
        <v>3-1/1-1</v>
      </c>
      <c r="K891" s="2" t="str">
        <f>UPPER(TEXT(Tabla1[[#This Row],[FECHA INF]],"MMMM"))</f>
        <v>OCTUBRE</v>
      </c>
      <c r="L89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0335-24</v>
      </c>
    </row>
    <row r="892" spans="1:12" x14ac:dyDescent="0.25">
      <c r="A892" s="52">
        <v>45596</v>
      </c>
      <c r="B892" s="27" t="s">
        <v>854</v>
      </c>
      <c r="C892" s="2" t="s">
        <v>1738</v>
      </c>
      <c r="D892" s="2">
        <v>3</v>
      </c>
      <c r="E892" s="27" t="s">
        <v>123</v>
      </c>
      <c r="F892" t="s">
        <v>15</v>
      </c>
      <c r="G892" s="47"/>
      <c r="H892" s="102"/>
      <c r="I892" s="63" t="s">
        <v>1005</v>
      </c>
      <c r="J892" t="str">
        <f>CONCATENATE(Tabla1[[#This Row],[OBRA]],"/",Tabla1[[#This Row],[CODIGO ENSAYO]])</f>
        <v>8-1/1-1</v>
      </c>
      <c r="K892" s="2" t="str">
        <f>UPPER(TEXT(Tabla1[[#This Row],[FECHA INF]],"MMMM"))</f>
        <v>OCTUBRE</v>
      </c>
      <c r="L89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0336-24</v>
      </c>
    </row>
    <row r="893" spans="1:12" hidden="1" x14ac:dyDescent="0.25">
      <c r="A893" s="52">
        <v>45596</v>
      </c>
      <c r="B893" s="27" t="s">
        <v>148</v>
      </c>
      <c r="C893" s="2" t="s">
        <v>1724</v>
      </c>
      <c r="D893" s="2">
        <v>3</v>
      </c>
      <c r="E893" s="27" t="s">
        <v>123</v>
      </c>
      <c r="F893" t="s">
        <v>15</v>
      </c>
      <c r="G893" s="47"/>
      <c r="H893" s="102"/>
      <c r="I893" s="63" t="s">
        <v>1005</v>
      </c>
      <c r="J893" t="str">
        <f>CONCATENATE(Tabla1[[#This Row],[OBRA]],"/",Tabla1[[#This Row],[CODIGO ENSAYO]])</f>
        <v>3-1/1-1</v>
      </c>
      <c r="K893" s="2" t="str">
        <f>UPPER(TEXT(Tabla1[[#This Row],[FECHA INF]],"MMMM"))</f>
        <v>OCTUBRE</v>
      </c>
      <c r="L89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0337-24</v>
      </c>
    </row>
    <row r="894" spans="1:12" hidden="1" x14ac:dyDescent="0.25">
      <c r="A894" s="52">
        <v>45596</v>
      </c>
      <c r="B894" s="27" t="s">
        <v>148</v>
      </c>
      <c r="C894" s="2" t="s">
        <v>1725</v>
      </c>
      <c r="D894" s="2">
        <v>1</v>
      </c>
      <c r="E894" s="27" t="s">
        <v>123</v>
      </c>
      <c r="F894" t="s">
        <v>15</v>
      </c>
      <c r="G894" s="47"/>
      <c r="H894" s="102"/>
      <c r="I894" s="63" t="s">
        <v>1005</v>
      </c>
      <c r="J894" t="str">
        <f>CONCATENATE(Tabla1[[#This Row],[OBRA]],"/",Tabla1[[#This Row],[CODIGO ENSAYO]])</f>
        <v>3-1/1-1</v>
      </c>
      <c r="K894" s="2" t="str">
        <f>UPPER(TEXT(Tabla1[[#This Row],[FECHA INF]],"MMMM"))</f>
        <v>OCTUBRE</v>
      </c>
      <c r="L89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0338-24</v>
      </c>
    </row>
    <row r="895" spans="1:12" x14ac:dyDescent="0.25">
      <c r="A895" s="52">
        <v>45596</v>
      </c>
      <c r="B895" s="27" t="s">
        <v>854</v>
      </c>
      <c r="C895" s="2" t="s">
        <v>1739</v>
      </c>
      <c r="D895" s="2">
        <v>9</v>
      </c>
      <c r="E895" s="27" t="s">
        <v>123</v>
      </c>
      <c r="F895" t="s">
        <v>15</v>
      </c>
      <c r="G895" s="47"/>
      <c r="H895" s="102"/>
      <c r="I895" s="63" t="s">
        <v>1005</v>
      </c>
      <c r="J895" t="str">
        <f>CONCATENATE(Tabla1[[#This Row],[OBRA]],"/",Tabla1[[#This Row],[CODIGO ENSAYO]])</f>
        <v>8-1/1-1</v>
      </c>
      <c r="K895" s="2" t="str">
        <f>UPPER(TEXT(Tabla1[[#This Row],[FECHA INF]],"MMMM"))</f>
        <v>OCTUBRE</v>
      </c>
      <c r="L89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0339-24</v>
      </c>
    </row>
    <row r="896" spans="1:12" hidden="1" x14ac:dyDescent="0.25">
      <c r="A896" s="52">
        <v>45596</v>
      </c>
      <c r="B896" s="27" t="s">
        <v>148</v>
      </c>
      <c r="C896" s="2" t="s">
        <v>1726</v>
      </c>
      <c r="D896" s="2">
        <v>1</v>
      </c>
      <c r="E896" s="27" t="s">
        <v>123</v>
      </c>
      <c r="F896" t="s">
        <v>15</v>
      </c>
      <c r="G896" s="47"/>
      <c r="H896" s="102"/>
      <c r="I896" s="63" t="s">
        <v>1005</v>
      </c>
      <c r="J896" t="str">
        <f>CONCATENATE(Tabla1[[#This Row],[OBRA]],"/",Tabla1[[#This Row],[CODIGO ENSAYO]])</f>
        <v>3-1/1-1</v>
      </c>
      <c r="K896" s="2" t="str">
        <f>UPPER(TEXT(Tabla1[[#This Row],[FECHA INF]],"MMMM"))</f>
        <v>OCTUBRE</v>
      </c>
      <c r="L89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0340-24</v>
      </c>
    </row>
    <row r="897" spans="1:12" x14ac:dyDescent="0.25">
      <c r="A897" s="52">
        <v>45596</v>
      </c>
      <c r="B897" s="27" t="s">
        <v>854</v>
      </c>
      <c r="C897" s="2" t="s">
        <v>1740</v>
      </c>
      <c r="D897" s="2">
        <v>15</v>
      </c>
      <c r="E897" s="27" t="s">
        <v>123</v>
      </c>
      <c r="F897" t="s">
        <v>15</v>
      </c>
      <c r="G897" s="47"/>
      <c r="H897" s="102"/>
      <c r="I897" s="63" t="s">
        <v>1005</v>
      </c>
      <c r="J897" t="str">
        <f>CONCATENATE(Tabla1[[#This Row],[OBRA]],"/",Tabla1[[#This Row],[CODIGO ENSAYO]])</f>
        <v>8-1/1-1</v>
      </c>
      <c r="K897" s="2" t="str">
        <f>UPPER(TEXT(Tabla1[[#This Row],[FECHA INF]],"MMMM"))</f>
        <v>OCTUBRE</v>
      </c>
      <c r="L89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0341-24</v>
      </c>
    </row>
    <row r="898" spans="1:12" hidden="1" x14ac:dyDescent="0.25">
      <c r="A898" s="52">
        <v>45596</v>
      </c>
      <c r="B898" s="27" t="s">
        <v>522</v>
      </c>
      <c r="C898" s="2" t="s">
        <v>1763</v>
      </c>
      <c r="D898" s="2">
        <v>8</v>
      </c>
      <c r="E898" s="27" t="s">
        <v>123</v>
      </c>
      <c r="F898" t="s">
        <v>15</v>
      </c>
      <c r="G898" s="47"/>
      <c r="H898" s="102"/>
      <c r="I898" s="63" t="s">
        <v>1005</v>
      </c>
      <c r="J898" t="str">
        <f>CONCATENATE(Tabla1[[#This Row],[OBRA]],"/",Tabla1[[#This Row],[CODIGO ENSAYO]])</f>
        <v>17-1/1-1</v>
      </c>
      <c r="K898" s="2" t="str">
        <f>UPPER(TEXT(Tabla1[[#This Row],[FECHA INF]],"MMMM"))</f>
        <v>OCTUBRE</v>
      </c>
      <c r="L89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0342-24</v>
      </c>
    </row>
    <row r="899" spans="1:12" x14ac:dyDescent="0.25">
      <c r="A899" s="52">
        <v>45596</v>
      </c>
      <c r="B899" s="27" t="s">
        <v>854</v>
      </c>
      <c r="C899" s="2" t="s">
        <v>1741</v>
      </c>
      <c r="D899" s="2">
        <v>3</v>
      </c>
      <c r="E899" s="27" t="s">
        <v>123</v>
      </c>
      <c r="F899" t="s">
        <v>15</v>
      </c>
      <c r="G899" s="47"/>
      <c r="H899" s="102"/>
      <c r="I899" s="63" t="s">
        <v>1005</v>
      </c>
      <c r="J899" t="str">
        <f>CONCATENATE(Tabla1[[#This Row],[OBRA]],"/",Tabla1[[#This Row],[CODIGO ENSAYO]])</f>
        <v>8-1/1-1</v>
      </c>
      <c r="K899" s="2" t="str">
        <f>UPPER(TEXT(Tabla1[[#This Row],[FECHA INF]],"MMMM"))</f>
        <v>OCTUBRE</v>
      </c>
      <c r="L89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0343-24</v>
      </c>
    </row>
    <row r="900" spans="1:12" x14ac:dyDescent="0.25">
      <c r="A900" s="52">
        <v>45596</v>
      </c>
      <c r="B900" s="27" t="s">
        <v>854</v>
      </c>
      <c r="C900" s="2" t="s">
        <v>1742</v>
      </c>
      <c r="D900" s="2">
        <v>3</v>
      </c>
      <c r="E900" s="27" t="s">
        <v>123</v>
      </c>
      <c r="F900" t="s">
        <v>15</v>
      </c>
      <c r="G900" s="47"/>
      <c r="H900" s="102"/>
      <c r="I900" s="63" t="s">
        <v>1005</v>
      </c>
      <c r="J900" t="str">
        <f>CONCATENATE(Tabla1[[#This Row],[OBRA]],"/",Tabla1[[#This Row],[CODIGO ENSAYO]])</f>
        <v>8-1/1-1</v>
      </c>
      <c r="K900" s="2" t="str">
        <f>UPPER(TEXT(Tabla1[[#This Row],[FECHA INF]],"MMMM"))</f>
        <v>OCTUBRE</v>
      </c>
      <c r="L90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0344-24</v>
      </c>
    </row>
    <row r="901" spans="1:12" x14ac:dyDescent="0.25">
      <c r="A901" s="52">
        <v>45596</v>
      </c>
      <c r="B901" s="27" t="s">
        <v>854</v>
      </c>
      <c r="C901" s="2" t="s">
        <v>1743</v>
      </c>
      <c r="D901" s="2">
        <v>9</v>
      </c>
      <c r="E901" s="27" t="s">
        <v>123</v>
      </c>
      <c r="F901" t="s">
        <v>15</v>
      </c>
      <c r="G901" s="47"/>
      <c r="H901" s="102"/>
      <c r="I901" s="63" t="s">
        <v>1005</v>
      </c>
      <c r="J901" t="str">
        <f>CONCATENATE(Tabla1[[#This Row],[OBRA]],"/",Tabla1[[#This Row],[CODIGO ENSAYO]])</f>
        <v>8-1/1-1</v>
      </c>
      <c r="K901" s="2" t="str">
        <f>UPPER(TEXT(Tabla1[[#This Row],[FECHA INF]],"MMMM"))</f>
        <v>OCTUBRE</v>
      </c>
      <c r="L90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0345-24</v>
      </c>
    </row>
    <row r="902" spans="1:12" x14ac:dyDescent="0.25">
      <c r="A902" s="52">
        <v>45596</v>
      </c>
      <c r="B902" s="27" t="s">
        <v>854</v>
      </c>
      <c r="C902" s="2" t="s">
        <v>1744</v>
      </c>
      <c r="D902" s="2">
        <v>9</v>
      </c>
      <c r="E902" s="27" t="s">
        <v>123</v>
      </c>
      <c r="F902" t="s">
        <v>15</v>
      </c>
      <c r="G902" s="47"/>
      <c r="H902" s="102"/>
      <c r="I902" s="63" t="s">
        <v>1005</v>
      </c>
      <c r="J902" t="str">
        <f>CONCATENATE(Tabla1[[#This Row],[OBRA]],"/",Tabla1[[#This Row],[CODIGO ENSAYO]])</f>
        <v>8-1/1-1</v>
      </c>
      <c r="K902" s="2" t="str">
        <f>UPPER(TEXT(Tabla1[[#This Row],[FECHA INF]],"MMMM"))</f>
        <v>OCTUBRE</v>
      </c>
      <c r="L90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0346-24</v>
      </c>
    </row>
    <row r="903" spans="1:12" x14ac:dyDescent="0.25">
      <c r="A903" s="52">
        <v>45596</v>
      </c>
      <c r="B903" s="27" t="s">
        <v>854</v>
      </c>
      <c r="C903" s="2" t="s">
        <v>1745</v>
      </c>
      <c r="D903" s="2">
        <v>6</v>
      </c>
      <c r="E903" s="27" t="s">
        <v>123</v>
      </c>
      <c r="F903" t="s">
        <v>15</v>
      </c>
      <c r="G903" s="47"/>
      <c r="H903" s="102"/>
      <c r="I903" s="63" t="s">
        <v>1005</v>
      </c>
      <c r="J903" t="str">
        <f>CONCATENATE(Tabla1[[#This Row],[OBRA]],"/",Tabla1[[#This Row],[CODIGO ENSAYO]])</f>
        <v>8-1/1-1</v>
      </c>
      <c r="K903" s="2" t="str">
        <f>UPPER(TEXT(Tabla1[[#This Row],[FECHA INF]],"MMMM"))</f>
        <v>OCTUBRE</v>
      </c>
      <c r="L90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0347-24</v>
      </c>
    </row>
    <row r="904" spans="1:12" hidden="1" x14ac:dyDescent="0.25">
      <c r="A904" s="52">
        <v>45596</v>
      </c>
      <c r="B904" s="27" t="s">
        <v>522</v>
      </c>
      <c r="C904" s="2" t="s">
        <v>1764</v>
      </c>
      <c r="D904" s="2">
        <v>4</v>
      </c>
      <c r="E904" s="27" t="s">
        <v>123</v>
      </c>
      <c r="F904" t="s">
        <v>15</v>
      </c>
      <c r="G904" s="47"/>
      <c r="H904" s="102"/>
      <c r="I904" s="63" t="s">
        <v>1005</v>
      </c>
      <c r="J904" t="str">
        <f>CONCATENATE(Tabla1[[#This Row],[OBRA]],"/",Tabla1[[#This Row],[CODIGO ENSAYO]])</f>
        <v>17-1/1-1</v>
      </c>
      <c r="K904" s="2" t="str">
        <f>UPPER(TEXT(Tabla1[[#This Row],[FECHA INF]],"MMMM"))</f>
        <v>OCTUBRE</v>
      </c>
      <c r="L90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0348-24</v>
      </c>
    </row>
    <row r="905" spans="1:12" x14ac:dyDescent="0.25">
      <c r="A905" s="52">
        <v>45596</v>
      </c>
      <c r="B905" s="27" t="s">
        <v>854</v>
      </c>
      <c r="C905" s="2" t="s">
        <v>1746</v>
      </c>
      <c r="D905" s="2">
        <v>6</v>
      </c>
      <c r="E905" s="27" t="s">
        <v>123</v>
      </c>
      <c r="F905" t="s">
        <v>15</v>
      </c>
      <c r="G905" s="47"/>
      <c r="H905" s="102"/>
      <c r="I905" s="63" t="s">
        <v>1005</v>
      </c>
      <c r="J905" t="str">
        <f>CONCATENATE(Tabla1[[#This Row],[OBRA]],"/",Tabla1[[#This Row],[CODIGO ENSAYO]])</f>
        <v>8-1/1-1</v>
      </c>
      <c r="K905" s="2" t="str">
        <f>UPPER(TEXT(Tabla1[[#This Row],[FECHA INF]],"MMMM"))</f>
        <v>OCTUBRE</v>
      </c>
      <c r="L90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0350-24</v>
      </c>
    </row>
    <row r="906" spans="1:12" x14ac:dyDescent="0.25">
      <c r="A906" s="52">
        <v>45596</v>
      </c>
      <c r="B906" s="27" t="s">
        <v>854</v>
      </c>
      <c r="C906" s="2" t="s">
        <v>1747</v>
      </c>
      <c r="D906" s="2">
        <v>3</v>
      </c>
      <c r="E906" s="27" t="s">
        <v>123</v>
      </c>
      <c r="F906" t="s">
        <v>15</v>
      </c>
      <c r="G906" s="47"/>
      <c r="H906" s="102"/>
      <c r="I906" s="63" t="s">
        <v>1005</v>
      </c>
      <c r="J906" t="str">
        <f>CONCATENATE(Tabla1[[#This Row],[OBRA]],"/",Tabla1[[#This Row],[CODIGO ENSAYO]])</f>
        <v>8-1/1-1</v>
      </c>
      <c r="K906" s="2" t="str">
        <f>UPPER(TEXT(Tabla1[[#This Row],[FECHA INF]],"MMMM"))</f>
        <v>OCTUBRE</v>
      </c>
      <c r="L90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0351-24</v>
      </c>
    </row>
    <row r="907" spans="1:12" x14ac:dyDescent="0.25">
      <c r="A907" s="52">
        <v>45596</v>
      </c>
      <c r="B907" s="27" t="s">
        <v>854</v>
      </c>
      <c r="C907" s="2" t="s">
        <v>1730</v>
      </c>
      <c r="D907" s="2">
        <v>1</v>
      </c>
      <c r="E907" s="27" t="s">
        <v>143</v>
      </c>
      <c r="F907" t="s">
        <v>467</v>
      </c>
      <c r="G907" s="47"/>
      <c r="H907" s="102"/>
      <c r="I907" s="63" t="s">
        <v>1005</v>
      </c>
      <c r="J907" t="str">
        <f>CONCATENATE(Tabla1[[#This Row],[OBRA]],"/",Tabla1[[#This Row],[CODIGO ENSAYO]])</f>
        <v>8-1/2-7</v>
      </c>
      <c r="K907" s="2" t="str">
        <f>UPPER(TEXT(Tabla1[[#This Row],[FECHA INF]],"MMMM"))</f>
        <v>OCTUBRE</v>
      </c>
      <c r="L90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0353-24</v>
      </c>
    </row>
    <row r="908" spans="1:12" x14ac:dyDescent="0.25">
      <c r="A908" s="52">
        <v>45596</v>
      </c>
      <c r="B908" s="27" t="s">
        <v>854</v>
      </c>
      <c r="C908" s="2" t="s">
        <v>1766</v>
      </c>
      <c r="D908" s="2">
        <v>1</v>
      </c>
      <c r="E908" s="27" t="s">
        <v>166</v>
      </c>
      <c r="F908" t="s">
        <v>44</v>
      </c>
      <c r="G908" s="47"/>
      <c r="H908" s="102"/>
      <c r="I908" s="63" t="s">
        <v>1005</v>
      </c>
      <c r="J908" t="str">
        <f>CONCATENATE(Tabla1[[#This Row],[OBRA]],"/",Tabla1[[#This Row],[CODIGO ENSAYO]])</f>
        <v>8-1/4-12</v>
      </c>
      <c r="K908" s="2" t="str">
        <f>UPPER(TEXT(Tabla1[[#This Row],[FECHA INF]],"MMMM"))</f>
        <v>OCTUBRE</v>
      </c>
      <c r="L90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0354-24</v>
      </c>
    </row>
    <row r="909" spans="1:12" x14ac:dyDescent="0.25">
      <c r="A909" s="52">
        <v>45596</v>
      </c>
      <c r="B909" s="27" t="s">
        <v>854</v>
      </c>
      <c r="C909" s="2" t="s">
        <v>1767</v>
      </c>
      <c r="D909" s="2">
        <v>1</v>
      </c>
      <c r="E909" s="27" t="s">
        <v>158</v>
      </c>
      <c r="F909" t="s">
        <v>38</v>
      </c>
      <c r="G909" s="47"/>
      <c r="H909" s="102"/>
      <c r="I909" s="63" t="s">
        <v>1005</v>
      </c>
      <c r="J909" t="str">
        <f>CONCATENATE(Tabla1[[#This Row],[OBRA]],"/",Tabla1[[#This Row],[CODIGO ENSAYO]])</f>
        <v>8-1/4-3</v>
      </c>
      <c r="K909" s="2" t="str">
        <f>UPPER(TEXT(Tabla1[[#This Row],[FECHA INF]],"MMMM"))</f>
        <v>OCTUBRE</v>
      </c>
      <c r="L90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0355-24</v>
      </c>
    </row>
    <row r="910" spans="1:12" x14ac:dyDescent="0.25">
      <c r="A910" s="52">
        <v>45596</v>
      </c>
      <c r="B910" s="27" t="s">
        <v>854</v>
      </c>
      <c r="C910" s="2" t="s">
        <v>1731</v>
      </c>
      <c r="D910" s="2">
        <v>1</v>
      </c>
      <c r="E910" s="27" t="s">
        <v>139</v>
      </c>
      <c r="F910" t="s">
        <v>468</v>
      </c>
      <c r="G910" s="47"/>
      <c r="H910" s="102"/>
      <c r="I910" s="63" t="s">
        <v>1005</v>
      </c>
      <c r="J910" t="str">
        <f>CONCATENATE(Tabla1[[#This Row],[OBRA]],"/",Tabla1[[#This Row],[CODIGO ENSAYO]])</f>
        <v>8-1/2-3</v>
      </c>
      <c r="K910" s="2" t="str">
        <f>UPPER(TEXT(Tabla1[[#This Row],[FECHA INF]],"MMMM"))</f>
        <v>OCTUBRE</v>
      </c>
      <c r="L91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0356-24</v>
      </c>
    </row>
    <row r="911" spans="1:12" x14ac:dyDescent="0.25">
      <c r="A911" s="52">
        <v>45596</v>
      </c>
      <c r="B911" s="27" t="s">
        <v>854</v>
      </c>
      <c r="C911" s="2" t="s">
        <v>1768</v>
      </c>
      <c r="D911" s="2">
        <v>1</v>
      </c>
      <c r="E911" s="27" t="s">
        <v>163</v>
      </c>
      <c r="F911" t="s">
        <v>2</v>
      </c>
      <c r="G911" s="47"/>
      <c r="H911" s="102"/>
      <c r="I911" s="63" t="s">
        <v>1005</v>
      </c>
      <c r="J911" t="str">
        <f>CONCATENATE(Tabla1[[#This Row],[OBRA]],"/",Tabla1[[#This Row],[CODIGO ENSAYO]])</f>
        <v>8-1/4-9</v>
      </c>
      <c r="K911" s="2" t="str">
        <f>UPPER(TEXT(Tabla1[[#This Row],[FECHA INF]],"MMMM"))</f>
        <v>OCTUBRE</v>
      </c>
      <c r="L9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0357-24</v>
      </c>
    </row>
    <row r="912" spans="1:12" x14ac:dyDescent="0.25">
      <c r="A912" s="52">
        <v>45596</v>
      </c>
      <c r="B912" s="27" t="s">
        <v>854</v>
      </c>
      <c r="C912" s="2" t="s">
        <v>1769</v>
      </c>
      <c r="D912" s="2">
        <v>1</v>
      </c>
      <c r="E912" s="27" t="s">
        <v>159</v>
      </c>
      <c r="F912" t="s">
        <v>39</v>
      </c>
      <c r="G912" s="47"/>
      <c r="H912" s="102"/>
      <c r="I912" s="63" t="s">
        <v>1005</v>
      </c>
      <c r="J912" t="str">
        <f>CONCATENATE(Tabla1[[#This Row],[OBRA]],"/",Tabla1[[#This Row],[CODIGO ENSAYO]])</f>
        <v>8-1/4-4</v>
      </c>
      <c r="K912" s="2" t="str">
        <f>UPPER(TEXT(Tabla1[[#This Row],[FECHA INF]],"MMMM"))</f>
        <v>OCTUBRE</v>
      </c>
      <c r="L91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0358-24</v>
      </c>
    </row>
    <row r="913" spans="1:12" hidden="1" x14ac:dyDescent="0.25">
      <c r="A913" s="52">
        <v>45596</v>
      </c>
      <c r="B913" s="27" t="s">
        <v>148</v>
      </c>
      <c r="C913" s="2" t="s">
        <v>1727</v>
      </c>
      <c r="D913" s="2">
        <v>4</v>
      </c>
      <c r="E913" s="27" t="s">
        <v>123</v>
      </c>
      <c r="F913" t="s">
        <v>15</v>
      </c>
      <c r="G913" s="47"/>
      <c r="H913" s="102"/>
      <c r="I913" s="63" t="s">
        <v>1005</v>
      </c>
      <c r="J913" t="str">
        <f>CONCATENATE(Tabla1[[#This Row],[OBRA]],"/",Tabla1[[#This Row],[CODIGO ENSAYO]])</f>
        <v>3-1/1-1</v>
      </c>
      <c r="K913" s="2" t="str">
        <f>UPPER(TEXT(Tabla1[[#This Row],[FECHA INF]],"MMMM"))</f>
        <v>OCTUBRE</v>
      </c>
      <c r="L91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0367-24</v>
      </c>
    </row>
    <row r="914" spans="1:12" hidden="1" x14ac:dyDescent="0.25">
      <c r="A914" s="52">
        <v>45626</v>
      </c>
      <c r="B914" s="27" t="s">
        <v>522</v>
      </c>
      <c r="C914" s="2" t="s">
        <v>1820</v>
      </c>
      <c r="D914" s="2">
        <v>4</v>
      </c>
      <c r="E914" s="27" t="s">
        <v>175</v>
      </c>
      <c r="F914" t="s">
        <v>390</v>
      </c>
      <c r="G914" s="47"/>
      <c r="H914" s="102"/>
      <c r="I914" s="63" t="s">
        <v>1005</v>
      </c>
      <c r="J914" t="str">
        <f>CONCATENATE(Tabla1[[#This Row],[OBRA]],"/",Tabla1[[#This Row],[CODIGO ENSAYO]])</f>
        <v>17-1/7-1</v>
      </c>
      <c r="K914" s="2" t="str">
        <f>UPPER(TEXT(Tabla1[[#This Row],[FECHA INF]],"MMMM"))</f>
        <v>NOVIEMBRE</v>
      </c>
      <c r="L91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(Transporte de 05-12-19-27  de Noviembre de 2024)</v>
      </c>
    </row>
    <row r="915" spans="1:12" ht="30" hidden="1" x14ac:dyDescent="0.25">
      <c r="A915" s="52">
        <v>45626</v>
      </c>
      <c r="B915" s="27" t="s">
        <v>148</v>
      </c>
      <c r="C915" s="2" t="s">
        <v>1707</v>
      </c>
      <c r="D915" s="2">
        <v>1</v>
      </c>
      <c r="E915" s="27" t="s">
        <v>1770</v>
      </c>
      <c r="F915" s="31" t="s">
        <v>1771</v>
      </c>
      <c r="G915" s="47"/>
      <c r="H915" s="102"/>
      <c r="I915" s="63" t="s">
        <v>1005</v>
      </c>
      <c r="J915" t="str">
        <f>CONCATENATE(Tabla1[[#This Row],[OBRA]],"/",Tabla1[[#This Row],[CODIGO ENSAYO]])</f>
        <v>3-1/13-10</v>
      </c>
      <c r="K915" s="2" t="str">
        <f>UPPER(TEXT(Tabla1[[#This Row],[FECHA INF]],"MMMM"))</f>
        <v>NOVIEMBRE</v>
      </c>
      <c r="L91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0311-24</v>
      </c>
    </row>
    <row r="916" spans="1:12" x14ac:dyDescent="0.25">
      <c r="A916" s="52">
        <v>45626</v>
      </c>
      <c r="B916" s="27" t="s">
        <v>854</v>
      </c>
      <c r="C916" s="2" t="s">
        <v>1786</v>
      </c>
      <c r="D916" s="2">
        <v>3</v>
      </c>
      <c r="E916" s="27" t="s">
        <v>123</v>
      </c>
      <c r="F916" t="s">
        <v>15</v>
      </c>
      <c r="G916" s="47"/>
      <c r="H916" s="102"/>
      <c r="I916" s="63" t="s">
        <v>1005</v>
      </c>
      <c r="J916" t="str">
        <f>CONCATENATE(Tabla1[[#This Row],[OBRA]],"/",Tabla1[[#This Row],[CODIGO ENSAYO]])</f>
        <v>8-1/1-1</v>
      </c>
      <c r="K916" s="2" t="str">
        <f>UPPER(TEXT(Tabla1[[#This Row],[FECHA INF]],"MMMM"))</f>
        <v>NOVIEMBRE</v>
      </c>
      <c r="L91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0349-24</v>
      </c>
    </row>
    <row r="917" spans="1:12" x14ac:dyDescent="0.25">
      <c r="A917" s="52">
        <v>45626</v>
      </c>
      <c r="B917" s="27" t="s">
        <v>854</v>
      </c>
      <c r="C917" s="2" t="s">
        <v>1787</v>
      </c>
      <c r="D917" s="2">
        <v>6</v>
      </c>
      <c r="E917" s="27" t="s">
        <v>123</v>
      </c>
      <c r="F917" t="s">
        <v>15</v>
      </c>
      <c r="G917" s="47"/>
      <c r="H917" s="102"/>
      <c r="I917" s="63" t="s">
        <v>1005</v>
      </c>
      <c r="J917" t="str">
        <f>CONCATENATE(Tabla1[[#This Row],[OBRA]],"/",Tabla1[[#This Row],[CODIGO ENSAYO]])</f>
        <v>8-1/1-1</v>
      </c>
      <c r="K917" s="2" t="str">
        <f>UPPER(TEXT(Tabla1[[#This Row],[FECHA INF]],"MMMM"))</f>
        <v>NOVIEMBRE</v>
      </c>
      <c r="L91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0352-24</v>
      </c>
    </row>
    <row r="918" spans="1:12" x14ac:dyDescent="0.25">
      <c r="A918" s="52">
        <v>45626</v>
      </c>
      <c r="B918" s="27" t="s">
        <v>854</v>
      </c>
      <c r="C918" s="2" t="s">
        <v>1788</v>
      </c>
      <c r="D918" s="2">
        <v>3</v>
      </c>
      <c r="E918" s="27" t="s">
        <v>123</v>
      </c>
      <c r="F918" t="s">
        <v>15</v>
      </c>
      <c r="G918" s="47"/>
      <c r="H918" s="102"/>
      <c r="I918" s="63" t="s">
        <v>1005</v>
      </c>
      <c r="J918" t="str">
        <f>CONCATENATE(Tabla1[[#This Row],[OBRA]],"/",Tabla1[[#This Row],[CODIGO ENSAYO]])</f>
        <v>8-1/1-1</v>
      </c>
      <c r="K918" s="2" t="str">
        <f>UPPER(TEXT(Tabla1[[#This Row],[FECHA INF]],"MMMM"))</f>
        <v>NOVIEMBRE</v>
      </c>
      <c r="L91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0361-24</v>
      </c>
    </row>
    <row r="919" spans="1:12" hidden="1" x14ac:dyDescent="0.25">
      <c r="A919" s="52">
        <v>45626</v>
      </c>
      <c r="B919" s="27" t="s">
        <v>522</v>
      </c>
      <c r="C919" s="2" t="s">
        <v>1811</v>
      </c>
      <c r="D919" s="2">
        <v>11</v>
      </c>
      <c r="E919" s="27" t="s">
        <v>123</v>
      </c>
      <c r="F919" t="s">
        <v>15</v>
      </c>
      <c r="G919" s="47"/>
      <c r="H919" s="102"/>
      <c r="I919" s="63" t="s">
        <v>1005</v>
      </c>
      <c r="J919" t="str">
        <f>CONCATENATE(Tabla1[[#This Row],[OBRA]],"/",Tabla1[[#This Row],[CODIGO ENSAYO]])</f>
        <v>17-1/1-1</v>
      </c>
      <c r="K919" s="2" t="str">
        <f>UPPER(TEXT(Tabla1[[#This Row],[FECHA INF]],"MMMM"))</f>
        <v>NOVIEMBRE</v>
      </c>
      <c r="L91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0362-24</v>
      </c>
    </row>
    <row r="920" spans="1:12" x14ac:dyDescent="0.25">
      <c r="A920" s="52">
        <v>45626</v>
      </c>
      <c r="B920" s="27" t="s">
        <v>854</v>
      </c>
      <c r="C920" s="2" t="s">
        <v>1789</v>
      </c>
      <c r="D920" s="2">
        <v>3</v>
      </c>
      <c r="E920" s="27" t="s">
        <v>123</v>
      </c>
      <c r="F920" t="s">
        <v>15</v>
      </c>
      <c r="G920" s="47"/>
      <c r="H920" s="102"/>
      <c r="I920" s="63" t="s">
        <v>1005</v>
      </c>
      <c r="J920" t="str">
        <f>CONCATENATE(Tabla1[[#This Row],[OBRA]],"/",Tabla1[[#This Row],[CODIGO ENSAYO]])</f>
        <v>8-1/1-1</v>
      </c>
      <c r="K920" s="2" t="str">
        <f>UPPER(TEXT(Tabla1[[#This Row],[FECHA INF]],"MMMM"))</f>
        <v>NOVIEMBRE</v>
      </c>
      <c r="L92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0363-24</v>
      </c>
    </row>
    <row r="921" spans="1:12" x14ac:dyDescent="0.25">
      <c r="A921" s="52">
        <v>45626</v>
      </c>
      <c r="B921" s="27" t="s">
        <v>854</v>
      </c>
      <c r="C921" s="2" t="s">
        <v>1790</v>
      </c>
      <c r="D921" s="2">
        <v>3</v>
      </c>
      <c r="E921" s="27" t="s">
        <v>123</v>
      </c>
      <c r="F921" t="s">
        <v>15</v>
      </c>
      <c r="G921" s="47"/>
      <c r="H921" s="102"/>
      <c r="I921" s="63" t="s">
        <v>1005</v>
      </c>
      <c r="J921" t="str">
        <f>CONCATENATE(Tabla1[[#This Row],[OBRA]],"/",Tabla1[[#This Row],[CODIGO ENSAYO]])</f>
        <v>8-1/1-1</v>
      </c>
      <c r="K921" s="2" t="str">
        <f>UPPER(TEXT(Tabla1[[#This Row],[FECHA INF]],"MMMM"))</f>
        <v>NOVIEMBRE</v>
      </c>
      <c r="L92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0364-24</v>
      </c>
    </row>
    <row r="922" spans="1:12" x14ac:dyDescent="0.25">
      <c r="A922" s="52">
        <v>45626</v>
      </c>
      <c r="B922" s="27" t="s">
        <v>854</v>
      </c>
      <c r="C922" s="2" t="s">
        <v>1791</v>
      </c>
      <c r="D922" s="2">
        <v>3</v>
      </c>
      <c r="E922" s="27" t="s">
        <v>123</v>
      </c>
      <c r="F922" t="s">
        <v>15</v>
      </c>
      <c r="G922" s="47"/>
      <c r="H922" s="102"/>
      <c r="I922" s="63" t="s">
        <v>1005</v>
      </c>
      <c r="J922" t="str">
        <f>CONCATENATE(Tabla1[[#This Row],[OBRA]],"/",Tabla1[[#This Row],[CODIGO ENSAYO]])</f>
        <v>8-1/1-1</v>
      </c>
      <c r="K922" s="2" t="str">
        <f>UPPER(TEXT(Tabla1[[#This Row],[FECHA INF]],"MMMM"))</f>
        <v>NOVIEMBRE</v>
      </c>
      <c r="L92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0365-24</v>
      </c>
    </row>
    <row r="923" spans="1:12" x14ac:dyDescent="0.25">
      <c r="A923" s="52">
        <v>45626</v>
      </c>
      <c r="B923" s="27" t="s">
        <v>854</v>
      </c>
      <c r="C923" s="2" t="s">
        <v>1792</v>
      </c>
      <c r="D923" s="2">
        <v>6</v>
      </c>
      <c r="E923" s="27" t="s">
        <v>123</v>
      </c>
      <c r="F923" t="s">
        <v>15</v>
      </c>
      <c r="G923" s="47"/>
      <c r="H923" s="102"/>
      <c r="I923" s="63" t="s">
        <v>1005</v>
      </c>
      <c r="J923" t="str">
        <f>CONCATENATE(Tabla1[[#This Row],[OBRA]],"/",Tabla1[[#This Row],[CODIGO ENSAYO]])</f>
        <v>8-1/1-1</v>
      </c>
      <c r="K923" s="2" t="str">
        <f>UPPER(TEXT(Tabla1[[#This Row],[FECHA INF]],"MMMM"))</f>
        <v>NOVIEMBRE</v>
      </c>
      <c r="L92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0366-24</v>
      </c>
    </row>
    <row r="924" spans="1:12" x14ac:dyDescent="0.25">
      <c r="A924" s="52">
        <v>45626</v>
      </c>
      <c r="B924" s="27" t="s">
        <v>854</v>
      </c>
      <c r="C924" s="2" t="s">
        <v>1793</v>
      </c>
      <c r="D924" s="2">
        <v>6</v>
      </c>
      <c r="E924" s="27" t="s">
        <v>123</v>
      </c>
      <c r="F924" t="s">
        <v>15</v>
      </c>
      <c r="G924" s="47"/>
      <c r="H924" s="102"/>
      <c r="I924" s="63" t="s">
        <v>1005</v>
      </c>
      <c r="J924" t="str">
        <f>CONCATENATE(Tabla1[[#This Row],[OBRA]],"/",Tabla1[[#This Row],[CODIGO ENSAYO]])</f>
        <v>8-1/1-1</v>
      </c>
      <c r="K924" s="2" t="str">
        <f>UPPER(TEXT(Tabla1[[#This Row],[FECHA INF]],"MMMM"))</f>
        <v>NOVIEMBRE</v>
      </c>
      <c r="L92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0368-24</v>
      </c>
    </row>
    <row r="925" spans="1:12" hidden="1" x14ac:dyDescent="0.25">
      <c r="A925" s="52">
        <v>45626</v>
      </c>
      <c r="B925" s="27" t="s">
        <v>522</v>
      </c>
      <c r="C925" s="2" t="s">
        <v>1812</v>
      </c>
      <c r="D925" s="2">
        <v>5</v>
      </c>
      <c r="E925" s="27" t="s">
        <v>123</v>
      </c>
      <c r="F925" t="s">
        <v>15</v>
      </c>
      <c r="G925" s="47"/>
      <c r="H925" s="102"/>
      <c r="I925" s="63" t="s">
        <v>1005</v>
      </c>
      <c r="J925" t="str">
        <f>CONCATENATE(Tabla1[[#This Row],[OBRA]],"/",Tabla1[[#This Row],[CODIGO ENSAYO]])</f>
        <v>17-1/1-1</v>
      </c>
      <c r="K925" s="2" t="str">
        <f>UPPER(TEXT(Tabla1[[#This Row],[FECHA INF]],"MMMM"))</f>
        <v>NOVIEMBRE</v>
      </c>
      <c r="L92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0369-24</v>
      </c>
    </row>
    <row r="926" spans="1:12" x14ac:dyDescent="0.25">
      <c r="A926" s="52">
        <v>45626</v>
      </c>
      <c r="B926" s="27" t="s">
        <v>854</v>
      </c>
      <c r="C926" s="2" t="s">
        <v>1794</v>
      </c>
      <c r="D926" s="2">
        <v>3</v>
      </c>
      <c r="E926" s="27" t="s">
        <v>123</v>
      </c>
      <c r="F926" t="s">
        <v>15</v>
      </c>
      <c r="G926" s="47"/>
      <c r="H926" s="102"/>
      <c r="I926" s="63" t="s">
        <v>1005</v>
      </c>
      <c r="J926" t="str">
        <f>CONCATENATE(Tabla1[[#This Row],[OBRA]],"/",Tabla1[[#This Row],[CODIGO ENSAYO]])</f>
        <v>8-1/1-1</v>
      </c>
      <c r="K926" s="2" t="str">
        <f>UPPER(TEXT(Tabla1[[#This Row],[FECHA INF]],"MMMM"))</f>
        <v>NOVIEMBRE</v>
      </c>
      <c r="L92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0370-24</v>
      </c>
    </row>
    <row r="927" spans="1:12" hidden="1" x14ac:dyDescent="0.25">
      <c r="A927" s="52">
        <v>45626</v>
      </c>
      <c r="B927" s="27" t="s">
        <v>148</v>
      </c>
      <c r="C927" s="2" t="s">
        <v>1728</v>
      </c>
      <c r="D927" s="2">
        <v>3</v>
      </c>
      <c r="E927" s="27" t="s">
        <v>123</v>
      </c>
      <c r="F927" t="s">
        <v>15</v>
      </c>
      <c r="G927" s="47"/>
      <c r="H927" s="102"/>
      <c r="I927" s="63" t="s">
        <v>1005</v>
      </c>
      <c r="J927" t="str">
        <f>CONCATENATE(Tabla1[[#This Row],[OBRA]],"/",Tabla1[[#This Row],[CODIGO ENSAYO]])</f>
        <v>3-1/1-1</v>
      </c>
      <c r="K927" s="2" t="str">
        <f>UPPER(TEXT(Tabla1[[#This Row],[FECHA INF]],"MMMM"))</f>
        <v>NOVIEMBRE</v>
      </c>
      <c r="L92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0371-24</v>
      </c>
    </row>
    <row r="928" spans="1:12" hidden="1" x14ac:dyDescent="0.25">
      <c r="A928" s="52">
        <v>45626</v>
      </c>
      <c r="B928" s="27" t="s">
        <v>522</v>
      </c>
      <c r="C928" s="2" t="s">
        <v>1813</v>
      </c>
      <c r="D928" s="2">
        <v>6</v>
      </c>
      <c r="E928" s="27" t="s">
        <v>123</v>
      </c>
      <c r="F928" t="s">
        <v>15</v>
      </c>
      <c r="G928" s="47"/>
      <c r="H928" s="102"/>
      <c r="I928" s="63" t="s">
        <v>1005</v>
      </c>
      <c r="J928" t="str">
        <f>CONCATENATE(Tabla1[[#This Row],[OBRA]],"/",Tabla1[[#This Row],[CODIGO ENSAYO]])</f>
        <v>17-1/1-1</v>
      </c>
      <c r="K928" s="2" t="str">
        <f>UPPER(TEXT(Tabla1[[#This Row],[FECHA INF]],"MMMM"))</f>
        <v>NOVIEMBRE</v>
      </c>
      <c r="L92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0372-24</v>
      </c>
    </row>
    <row r="929" spans="1:12" hidden="1" x14ac:dyDescent="0.25">
      <c r="A929" s="52">
        <v>45626</v>
      </c>
      <c r="B929" s="27" t="s">
        <v>148</v>
      </c>
      <c r="C929" s="2" t="s">
        <v>1729</v>
      </c>
      <c r="D929" s="2">
        <v>3</v>
      </c>
      <c r="E929" s="27" t="s">
        <v>123</v>
      </c>
      <c r="F929" t="s">
        <v>15</v>
      </c>
      <c r="G929" s="47"/>
      <c r="H929" s="102"/>
      <c r="I929" s="63" t="s">
        <v>1005</v>
      </c>
      <c r="J929" t="str">
        <f>CONCATENATE(Tabla1[[#This Row],[OBRA]],"/",Tabla1[[#This Row],[CODIGO ENSAYO]])</f>
        <v>3-1/1-1</v>
      </c>
      <c r="K929" s="2" t="str">
        <f>UPPER(TEXT(Tabla1[[#This Row],[FECHA INF]],"MMMM"))</f>
        <v>NOVIEMBRE</v>
      </c>
      <c r="L92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0373-24</v>
      </c>
    </row>
    <row r="930" spans="1:12" x14ac:dyDescent="0.25">
      <c r="A930" s="52">
        <v>45626</v>
      </c>
      <c r="B930" s="27" t="s">
        <v>854</v>
      </c>
      <c r="C930" s="2" t="s">
        <v>1795</v>
      </c>
      <c r="D930" s="2">
        <v>6</v>
      </c>
      <c r="E930" s="27" t="s">
        <v>123</v>
      </c>
      <c r="F930" t="s">
        <v>15</v>
      </c>
      <c r="G930" s="47"/>
      <c r="H930" s="102"/>
      <c r="I930" s="63" t="s">
        <v>1005</v>
      </c>
      <c r="J930" t="str">
        <f>CONCATENATE(Tabla1[[#This Row],[OBRA]],"/",Tabla1[[#This Row],[CODIGO ENSAYO]])</f>
        <v>8-1/1-1</v>
      </c>
      <c r="K930" s="2" t="str">
        <f>UPPER(TEXT(Tabla1[[#This Row],[FECHA INF]],"MMMM"))</f>
        <v>NOVIEMBRE</v>
      </c>
      <c r="L93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0374-24</v>
      </c>
    </row>
    <row r="931" spans="1:12" x14ac:dyDescent="0.25">
      <c r="A931" s="52">
        <v>45626</v>
      </c>
      <c r="B931" s="27" t="s">
        <v>854</v>
      </c>
      <c r="C931" s="2" t="s">
        <v>1796</v>
      </c>
      <c r="D931" s="2">
        <v>9</v>
      </c>
      <c r="E931" s="27" t="s">
        <v>123</v>
      </c>
      <c r="F931" t="s">
        <v>15</v>
      </c>
      <c r="G931" s="47"/>
      <c r="H931" s="102"/>
      <c r="I931" s="63" t="s">
        <v>1005</v>
      </c>
      <c r="J931" t="str">
        <f>CONCATENATE(Tabla1[[#This Row],[OBRA]],"/",Tabla1[[#This Row],[CODIGO ENSAYO]])</f>
        <v>8-1/1-1</v>
      </c>
      <c r="K931" s="2" t="str">
        <f>UPPER(TEXT(Tabla1[[#This Row],[FECHA INF]],"MMMM"))</f>
        <v>NOVIEMBRE</v>
      </c>
      <c r="L93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0375-24</v>
      </c>
    </row>
    <row r="932" spans="1:12" hidden="1" x14ac:dyDescent="0.25">
      <c r="A932" s="52">
        <v>45626</v>
      </c>
      <c r="B932" s="27" t="s">
        <v>522</v>
      </c>
      <c r="C932" s="2" t="s">
        <v>1814</v>
      </c>
      <c r="D932" s="2">
        <v>7</v>
      </c>
      <c r="E932" s="27" t="s">
        <v>123</v>
      </c>
      <c r="F932" t="s">
        <v>15</v>
      </c>
      <c r="G932" s="47"/>
      <c r="H932" s="102"/>
      <c r="I932" s="63" t="s">
        <v>1005</v>
      </c>
      <c r="J932" t="str">
        <f>CONCATENATE(Tabla1[[#This Row],[OBRA]],"/",Tabla1[[#This Row],[CODIGO ENSAYO]])</f>
        <v>17-1/1-1</v>
      </c>
      <c r="K932" s="2" t="str">
        <f>UPPER(TEXT(Tabla1[[#This Row],[FECHA INF]],"MMMM"))</f>
        <v>NOVIEMBRE</v>
      </c>
      <c r="L93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0376-24</v>
      </c>
    </row>
    <row r="933" spans="1:12" x14ac:dyDescent="0.25">
      <c r="A933" s="52">
        <v>45626</v>
      </c>
      <c r="B933" s="27" t="s">
        <v>854</v>
      </c>
      <c r="C933" s="2" t="s">
        <v>1797</v>
      </c>
      <c r="D933" s="2">
        <v>6</v>
      </c>
      <c r="E933" s="27" t="s">
        <v>123</v>
      </c>
      <c r="F933" t="s">
        <v>15</v>
      </c>
      <c r="G933" s="47"/>
      <c r="H933" s="102"/>
      <c r="I933" s="63" t="s">
        <v>1005</v>
      </c>
      <c r="J933" t="str">
        <f>CONCATENATE(Tabla1[[#This Row],[OBRA]],"/",Tabla1[[#This Row],[CODIGO ENSAYO]])</f>
        <v>8-1/1-1</v>
      </c>
      <c r="K933" s="2" t="str">
        <f>UPPER(TEXT(Tabla1[[#This Row],[FECHA INF]],"MMMM"))</f>
        <v>NOVIEMBRE</v>
      </c>
      <c r="L93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0377-24</v>
      </c>
    </row>
    <row r="934" spans="1:12" x14ac:dyDescent="0.25">
      <c r="A934" s="52">
        <v>45626</v>
      </c>
      <c r="B934" s="27" t="s">
        <v>854</v>
      </c>
      <c r="C934" s="2" t="s">
        <v>1798</v>
      </c>
      <c r="D934" s="2">
        <v>3</v>
      </c>
      <c r="E934" s="27" t="s">
        <v>123</v>
      </c>
      <c r="F934" t="s">
        <v>15</v>
      </c>
      <c r="G934" s="47"/>
      <c r="H934" s="102"/>
      <c r="I934" s="63" t="s">
        <v>1005</v>
      </c>
      <c r="J934" t="str">
        <f>CONCATENATE(Tabla1[[#This Row],[OBRA]],"/",Tabla1[[#This Row],[CODIGO ENSAYO]])</f>
        <v>8-1/1-1</v>
      </c>
      <c r="K934" s="2" t="str">
        <f>UPPER(TEXT(Tabla1[[#This Row],[FECHA INF]],"MMMM"))</f>
        <v>NOVIEMBRE</v>
      </c>
      <c r="L93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0378-24</v>
      </c>
    </row>
    <row r="935" spans="1:12" x14ac:dyDescent="0.25">
      <c r="A935" s="52">
        <v>45626</v>
      </c>
      <c r="B935" s="27" t="s">
        <v>854</v>
      </c>
      <c r="C935" s="2" t="s">
        <v>1799</v>
      </c>
      <c r="D935" s="2">
        <v>6</v>
      </c>
      <c r="E935" s="27" t="s">
        <v>123</v>
      </c>
      <c r="F935" t="s">
        <v>15</v>
      </c>
      <c r="G935" s="47"/>
      <c r="H935" s="102"/>
      <c r="I935" s="63" t="s">
        <v>1005</v>
      </c>
      <c r="J935" t="str">
        <f>CONCATENATE(Tabla1[[#This Row],[OBRA]],"/",Tabla1[[#This Row],[CODIGO ENSAYO]])</f>
        <v>8-1/1-1</v>
      </c>
      <c r="K935" s="2" t="str">
        <f>UPPER(TEXT(Tabla1[[#This Row],[FECHA INF]],"MMMM"))</f>
        <v>NOVIEMBRE</v>
      </c>
      <c r="L93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0379-24</v>
      </c>
    </row>
    <row r="936" spans="1:12" x14ac:dyDescent="0.25">
      <c r="A936" s="52">
        <v>45626</v>
      </c>
      <c r="B936" s="27" t="s">
        <v>854</v>
      </c>
      <c r="C936" s="2" t="s">
        <v>1800</v>
      </c>
      <c r="D936" s="2">
        <v>3</v>
      </c>
      <c r="E936" s="27" t="s">
        <v>123</v>
      </c>
      <c r="F936" t="s">
        <v>15</v>
      </c>
      <c r="G936" s="47"/>
      <c r="H936" s="102"/>
      <c r="I936" s="63" t="s">
        <v>1005</v>
      </c>
      <c r="J936" t="str">
        <f>CONCATENATE(Tabla1[[#This Row],[OBRA]],"/",Tabla1[[#This Row],[CODIGO ENSAYO]])</f>
        <v>8-1/1-1</v>
      </c>
      <c r="K936" s="2" t="str">
        <f>UPPER(TEXT(Tabla1[[#This Row],[FECHA INF]],"MMMM"))</f>
        <v>NOVIEMBRE</v>
      </c>
      <c r="L93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0380-24</v>
      </c>
    </row>
    <row r="937" spans="1:12" x14ac:dyDescent="0.25">
      <c r="A937" s="52">
        <v>45626</v>
      </c>
      <c r="B937" s="27" t="s">
        <v>854</v>
      </c>
      <c r="C937" s="2" t="s">
        <v>1801</v>
      </c>
      <c r="D937" s="2">
        <v>12</v>
      </c>
      <c r="E937" s="27" t="s">
        <v>123</v>
      </c>
      <c r="F937" t="s">
        <v>15</v>
      </c>
      <c r="G937" s="47"/>
      <c r="H937" s="102"/>
      <c r="I937" s="63" t="s">
        <v>1005</v>
      </c>
      <c r="J937" t="str">
        <f>CONCATENATE(Tabla1[[#This Row],[OBRA]],"/",Tabla1[[#This Row],[CODIGO ENSAYO]])</f>
        <v>8-1/1-1</v>
      </c>
      <c r="K937" s="2" t="str">
        <f>UPPER(TEXT(Tabla1[[#This Row],[FECHA INF]],"MMMM"))</f>
        <v>NOVIEMBRE</v>
      </c>
      <c r="L93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0381-24</v>
      </c>
    </row>
    <row r="938" spans="1:12" hidden="1" x14ac:dyDescent="0.25">
      <c r="A938" s="52">
        <v>45626</v>
      </c>
      <c r="B938" s="27" t="s">
        <v>148</v>
      </c>
      <c r="C938" s="2" t="s">
        <v>1773</v>
      </c>
      <c r="D938" s="2">
        <v>1</v>
      </c>
      <c r="E938" s="27" t="s">
        <v>125</v>
      </c>
      <c r="F938" t="s">
        <v>413</v>
      </c>
      <c r="G938" s="47"/>
      <c r="H938" s="102"/>
      <c r="I938" s="63" t="s">
        <v>1005</v>
      </c>
      <c r="J938" t="str">
        <f>CONCATENATE(Tabla1[[#This Row],[OBRA]],"/",Tabla1[[#This Row],[CODIGO ENSAYO]])</f>
        <v>3-1/1-2</v>
      </c>
      <c r="K938" s="2" t="str">
        <f>UPPER(TEXT(Tabla1[[#This Row],[FECHA INF]],"MMMM"))</f>
        <v>NOVIEMBRE</v>
      </c>
      <c r="L93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0382-0388</v>
      </c>
    </row>
    <row r="939" spans="1:12" x14ac:dyDescent="0.25">
      <c r="A939" s="52">
        <v>45626</v>
      </c>
      <c r="B939" s="27" t="s">
        <v>854</v>
      </c>
      <c r="C939" s="2" t="s">
        <v>1802</v>
      </c>
      <c r="D939" s="2">
        <v>6</v>
      </c>
      <c r="E939" s="27" t="s">
        <v>123</v>
      </c>
      <c r="F939" t="s">
        <v>15</v>
      </c>
      <c r="G939" s="47"/>
      <c r="H939" s="102"/>
      <c r="I939" s="63" t="s">
        <v>1005</v>
      </c>
      <c r="J939" t="str">
        <f>CONCATENATE(Tabla1[[#This Row],[OBRA]],"/",Tabla1[[#This Row],[CODIGO ENSAYO]])</f>
        <v>8-1/1-1</v>
      </c>
      <c r="K939" s="2" t="str">
        <f>UPPER(TEXT(Tabla1[[#This Row],[FECHA INF]],"MMMM"))</f>
        <v>NOVIEMBRE</v>
      </c>
      <c r="L93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0389-24</v>
      </c>
    </row>
    <row r="940" spans="1:12" hidden="1" x14ac:dyDescent="0.25">
      <c r="A940" s="52">
        <v>45626</v>
      </c>
      <c r="B940" s="27" t="s">
        <v>148</v>
      </c>
      <c r="C940" s="2" t="s">
        <v>1785</v>
      </c>
      <c r="D940" s="2">
        <v>5</v>
      </c>
      <c r="E940" s="27" t="s">
        <v>123</v>
      </c>
      <c r="F940" t="s">
        <v>15</v>
      </c>
      <c r="G940" s="47"/>
      <c r="H940" s="102"/>
      <c r="I940" s="63" t="s">
        <v>1005</v>
      </c>
      <c r="J940" t="str">
        <f>CONCATENATE(Tabla1[[#This Row],[OBRA]],"/",Tabla1[[#This Row],[CODIGO ENSAYO]])</f>
        <v>3-1/1-1</v>
      </c>
      <c r="K940" s="2" t="str">
        <f>UPPER(TEXT(Tabla1[[#This Row],[FECHA INF]],"MMMM"))</f>
        <v>NOVIEMBRE</v>
      </c>
      <c r="L94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0390-24</v>
      </c>
    </row>
    <row r="941" spans="1:12" x14ac:dyDescent="0.25">
      <c r="A941" s="52">
        <v>45626</v>
      </c>
      <c r="B941" s="27" t="s">
        <v>854</v>
      </c>
      <c r="C941" s="2" t="s">
        <v>1803</v>
      </c>
      <c r="D941" s="2">
        <v>6</v>
      </c>
      <c r="E941" s="27" t="s">
        <v>123</v>
      </c>
      <c r="F941" t="s">
        <v>15</v>
      </c>
      <c r="G941" s="47"/>
      <c r="H941" s="102"/>
      <c r="I941" s="63" t="s">
        <v>1005</v>
      </c>
      <c r="J941" t="str">
        <f>CONCATENATE(Tabla1[[#This Row],[OBRA]],"/",Tabla1[[#This Row],[CODIGO ENSAYO]])</f>
        <v>8-1/1-1</v>
      </c>
      <c r="K941" s="2" t="str">
        <f>UPPER(TEXT(Tabla1[[#This Row],[FECHA INF]],"MMMM"))</f>
        <v>NOVIEMBRE</v>
      </c>
      <c r="L94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0391-24</v>
      </c>
    </row>
    <row r="942" spans="1:12" hidden="1" x14ac:dyDescent="0.25">
      <c r="A942" s="52">
        <v>45626</v>
      </c>
      <c r="B942" s="27" t="s">
        <v>522</v>
      </c>
      <c r="C942" s="2" t="s">
        <v>1815</v>
      </c>
      <c r="D942" s="2">
        <v>6</v>
      </c>
      <c r="E942" s="27" t="s">
        <v>123</v>
      </c>
      <c r="F942" t="s">
        <v>15</v>
      </c>
      <c r="G942" s="47"/>
      <c r="H942" s="102"/>
      <c r="I942" s="63" t="s">
        <v>1005</v>
      </c>
      <c r="J942" t="str">
        <f>CONCATENATE(Tabla1[[#This Row],[OBRA]],"/",Tabla1[[#This Row],[CODIGO ENSAYO]])</f>
        <v>17-1/1-1</v>
      </c>
      <c r="K942" s="2" t="str">
        <f>UPPER(TEXT(Tabla1[[#This Row],[FECHA INF]],"MMMM"))</f>
        <v>NOVIEMBRE</v>
      </c>
      <c r="L94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0392-24</v>
      </c>
    </row>
    <row r="943" spans="1:12" x14ac:dyDescent="0.25">
      <c r="A943" s="52">
        <v>45626</v>
      </c>
      <c r="B943" s="27" t="s">
        <v>854</v>
      </c>
      <c r="C943" s="2" t="s">
        <v>1804</v>
      </c>
      <c r="D943" s="2">
        <v>6</v>
      </c>
      <c r="E943" s="27" t="s">
        <v>123</v>
      </c>
      <c r="F943" t="s">
        <v>15</v>
      </c>
      <c r="G943" s="47"/>
      <c r="H943" s="102"/>
      <c r="I943" s="63" t="s">
        <v>1005</v>
      </c>
      <c r="J943" t="str">
        <f>CONCATENATE(Tabla1[[#This Row],[OBRA]],"/",Tabla1[[#This Row],[CODIGO ENSAYO]])</f>
        <v>8-1/1-1</v>
      </c>
      <c r="K943" s="2" t="str">
        <f>UPPER(TEXT(Tabla1[[#This Row],[FECHA INF]],"MMMM"))</f>
        <v>NOVIEMBRE</v>
      </c>
      <c r="L94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0393-24</v>
      </c>
    </row>
    <row r="944" spans="1:12" hidden="1" x14ac:dyDescent="0.25">
      <c r="A944" s="52">
        <v>45626</v>
      </c>
      <c r="B944" s="27" t="s">
        <v>522</v>
      </c>
      <c r="C944" s="2" t="s">
        <v>1816</v>
      </c>
      <c r="D944" s="2">
        <v>2</v>
      </c>
      <c r="E944" s="27" t="s">
        <v>123</v>
      </c>
      <c r="F944" t="s">
        <v>15</v>
      </c>
      <c r="G944" s="47"/>
      <c r="H944" s="102"/>
      <c r="I944" s="63" t="s">
        <v>1005</v>
      </c>
      <c r="J944" t="str">
        <f>CONCATENATE(Tabla1[[#This Row],[OBRA]],"/",Tabla1[[#This Row],[CODIGO ENSAYO]])</f>
        <v>17-1/1-1</v>
      </c>
      <c r="K944" s="2" t="str">
        <f>UPPER(TEXT(Tabla1[[#This Row],[FECHA INF]],"MMMM"))</f>
        <v>NOVIEMBRE</v>
      </c>
      <c r="L94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0394-24</v>
      </c>
    </row>
    <row r="945" spans="1:12" hidden="1" x14ac:dyDescent="0.25">
      <c r="A945" s="52">
        <v>45626</v>
      </c>
      <c r="B945" s="27" t="s">
        <v>148</v>
      </c>
      <c r="C945" s="2" t="s">
        <v>1774</v>
      </c>
      <c r="D945" s="2">
        <v>1</v>
      </c>
      <c r="E945" s="27" t="s">
        <v>412</v>
      </c>
      <c r="F945" t="s">
        <v>414</v>
      </c>
      <c r="G945" s="47"/>
      <c r="H945" s="102"/>
      <c r="I945" s="63" t="s">
        <v>1005</v>
      </c>
      <c r="J945" t="str">
        <f>CONCATENATE(Tabla1[[#This Row],[OBRA]],"/",Tabla1[[#This Row],[CODIGO ENSAYO]])</f>
        <v>3-1/1-2-1</v>
      </c>
      <c r="K945" s="2" t="str">
        <f>UPPER(TEXT(Tabla1[[#This Row],[FECHA INF]],"MMMM"))</f>
        <v>NOVIEMBRE</v>
      </c>
      <c r="L94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0395-24</v>
      </c>
    </row>
    <row r="946" spans="1:12" hidden="1" x14ac:dyDescent="0.25">
      <c r="A946" s="52">
        <v>45626</v>
      </c>
      <c r="B946" s="27" t="s">
        <v>148</v>
      </c>
      <c r="C946" s="2" t="s">
        <v>1775</v>
      </c>
      <c r="D946" s="2">
        <v>1</v>
      </c>
      <c r="E946" s="27" t="s">
        <v>139</v>
      </c>
      <c r="F946" t="s">
        <v>468</v>
      </c>
      <c r="G946" s="47"/>
      <c r="H946" s="102"/>
      <c r="I946" s="63" t="s">
        <v>1005</v>
      </c>
      <c r="J946" t="str">
        <f>CONCATENATE(Tabla1[[#This Row],[OBRA]],"/",Tabla1[[#This Row],[CODIGO ENSAYO]])</f>
        <v>3-1/2-3</v>
      </c>
      <c r="K946" s="2" t="str">
        <f>UPPER(TEXT(Tabla1[[#This Row],[FECHA INF]],"MMMM"))</f>
        <v>NOVIEMBRE</v>
      </c>
      <c r="L94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0396-24</v>
      </c>
    </row>
    <row r="947" spans="1:12" hidden="1" x14ac:dyDescent="0.25">
      <c r="A947" s="52">
        <v>45626</v>
      </c>
      <c r="B947" s="27" t="s">
        <v>148</v>
      </c>
      <c r="C947" s="2" t="s">
        <v>1775</v>
      </c>
      <c r="D947" s="2">
        <v>1</v>
      </c>
      <c r="E947" s="27" t="s">
        <v>156</v>
      </c>
      <c r="F947" t="s">
        <v>35</v>
      </c>
      <c r="G947" s="47"/>
      <c r="H947" s="102"/>
      <c r="I947" s="63" t="s">
        <v>1005</v>
      </c>
      <c r="J947" t="str">
        <f>CONCATENATE(Tabla1[[#This Row],[OBRA]],"/",Tabla1[[#This Row],[CODIGO ENSAYO]])</f>
        <v>3-1/4-1</v>
      </c>
      <c r="K947" s="2" t="str">
        <f>UPPER(TEXT(Tabla1[[#This Row],[FECHA INF]],"MMMM"))</f>
        <v>NOVIEMBRE</v>
      </c>
      <c r="L94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0396-24</v>
      </c>
    </row>
    <row r="948" spans="1:12" hidden="1" x14ac:dyDescent="0.25">
      <c r="A948" s="52">
        <v>45626</v>
      </c>
      <c r="B948" s="27" t="s">
        <v>148</v>
      </c>
      <c r="C948" s="2" t="s">
        <v>1776</v>
      </c>
      <c r="D948" s="2">
        <v>1</v>
      </c>
      <c r="E948" s="27" t="s">
        <v>159</v>
      </c>
      <c r="F948" t="s">
        <v>39</v>
      </c>
      <c r="G948" s="47"/>
      <c r="H948" s="102"/>
      <c r="I948" s="63" t="s">
        <v>1005</v>
      </c>
      <c r="J948" t="str">
        <f>CONCATENATE(Tabla1[[#This Row],[OBRA]],"/",Tabla1[[#This Row],[CODIGO ENSAYO]])</f>
        <v>3-1/4-4</v>
      </c>
      <c r="K948" s="2" t="str">
        <f>UPPER(TEXT(Tabla1[[#This Row],[FECHA INF]],"MMMM"))</f>
        <v>NOVIEMBRE</v>
      </c>
      <c r="L94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0397-24</v>
      </c>
    </row>
    <row r="949" spans="1:12" hidden="1" x14ac:dyDescent="0.25">
      <c r="A949" s="52">
        <v>45626</v>
      </c>
      <c r="B949" s="27" t="s">
        <v>148</v>
      </c>
      <c r="C949" s="2" t="s">
        <v>1777</v>
      </c>
      <c r="D949" s="2">
        <v>1</v>
      </c>
      <c r="E949" s="27" t="s">
        <v>162</v>
      </c>
      <c r="F949" t="s">
        <v>41</v>
      </c>
      <c r="G949" s="47"/>
      <c r="H949" s="102"/>
      <c r="I949" s="63" t="s">
        <v>1005</v>
      </c>
      <c r="J949" t="str">
        <f>CONCATENATE(Tabla1[[#This Row],[OBRA]],"/",Tabla1[[#This Row],[CODIGO ENSAYO]])</f>
        <v>3-1/4-8</v>
      </c>
      <c r="K949" s="2" t="str">
        <f>UPPER(TEXT(Tabla1[[#This Row],[FECHA INF]],"MMMM"))</f>
        <v>NOVIEMBRE</v>
      </c>
      <c r="L94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0398-24</v>
      </c>
    </row>
    <row r="950" spans="1:12" hidden="1" x14ac:dyDescent="0.25">
      <c r="A950" s="52">
        <v>45626</v>
      </c>
      <c r="B950" s="27" t="s">
        <v>148</v>
      </c>
      <c r="C950" s="2" t="s">
        <v>1778</v>
      </c>
      <c r="D950" s="2">
        <v>1</v>
      </c>
      <c r="E950" s="27" t="s">
        <v>162</v>
      </c>
      <c r="F950" t="s">
        <v>41</v>
      </c>
      <c r="G950" s="47"/>
      <c r="H950" s="102"/>
      <c r="I950" s="63" t="s">
        <v>1005</v>
      </c>
      <c r="J950" t="str">
        <f>CONCATENATE(Tabla1[[#This Row],[OBRA]],"/",Tabla1[[#This Row],[CODIGO ENSAYO]])</f>
        <v>3-1/4-8</v>
      </c>
      <c r="K950" s="2" t="str">
        <f>UPPER(TEXT(Tabla1[[#This Row],[FECHA INF]],"MMMM"))</f>
        <v>NOVIEMBRE</v>
      </c>
      <c r="L95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0399-24</v>
      </c>
    </row>
    <row r="951" spans="1:12" hidden="1" x14ac:dyDescent="0.25">
      <c r="A951" s="52">
        <v>45626</v>
      </c>
      <c r="B951" s="27" t="s">
        <v>148</v>
      </c>
      <c r="C951" s="2" t="s">
        <v>1782</v>
      </c>
      <c r="D951" s="2">
        <v>1</v>
      </c>
      <c r="E951" s="27" t="s">
        <v>162</v>
      </c>
      <c r="F951" t="s">
        <v>41</v>
      </c>
      <c r="G951" s="47"/>
      <c r="H951" s="102"/>
      <c r="I951" s="63" t="s">
        <v>1005</v>
      </c>
      <c r="J951" t="str">
        <f>CONCATENATE(Tabla1[[#This Row],[OBRA]],"/",Tabla1[[#This Row],[CODIGO ENSAYO]])</f>
        <v>3-1/4-8</v>
      </c>
      <c r="K951" s="2" t="str">
        <f>UPPER(TEXT(Tabla1[[#This Row],[FECHA INF]],"MMMM"))</f>
        <v>NOVIEMBRE</v>
      </c>
      <c r="L95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0403-24</v>
      </c>
    </row>
    <row r="952" spans="1:12" hidden="1" x14ac:dyDescent="0.25">
      <c r="A952" s="52">
        <v>45626</v>
      </c>
      <c r="B952" s="27" t="s">
        <v>148</v>
      </c>
      <c r="C952" s="2" t="s">
        <v>1783</v>
      </c>
      <c r="D952" s="2">
        <v>1</v>
      </c>
      <c r="E952" s="27" t="s">
        <v>162</v>
      </c>
      <c r="F952" t="s">
        <v>41</v>
      </c>
      <c r="G952" s="47"/>
      <c r="H952" s="102"/>
      <c r="I952" s="63" t="s">
        <v>1005</v>
      </c>
      <c r="J952" t="str">
        <f>CONCATENATE(Tabla1[[#This Row],[OBRA]],"/",Tabla1[[#This Row],[CODIGO ENSAYO]])</f>
        <v>3-1/4-8</v>
      </c>
      <c r="K952" s="2" t="str">
        <f>UPPER(TEXT(Tabla1[[#This Row],[FECHA INF]],"MMMM"))</f>
        <v>NOVIEMBRE</v>
      </c>
      <c r="L95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0404-24</v>
      </c>
    </row>
    <row r="953" spans="1:12" hidden="1" x14ac:dyDescent="0.25">
      <c r="A953" s="52">
        <v>45626</v>
      </c>
      <c r="B953" s="27" t="s">
        <v>148</v>
      </c>
      <c r="C953" s="2" t="s">
        <v>1784</v>
      </c>
      <c r="D953" s="2">
        <v>1</v>
      </c>
      <c r="E953" s="27" t="s">
        <v>123</v>
      </c>
      <c r="F953" t="s">
        <v>15</v>
      </c>
      <c r="G953" s="47"/>
      <c r="H953" s="102"/>
      <c r="I953" s="63" t="s">
        <v>1005</v>
      </c>
      <c r="J953" t="str">
        <f>CONCATENATE(Tabla1[[#This Row],[OBRA]],"/",Tabla1[[#This Row],[CODIGO ENSAYO]])</f>
        <v>3-1/1-1</v>
      </c>
      <c r="K953" s="2" t="str">
        <f>UPPER(TEXT(Tabla1[[#This Row],[FECHA INF]],"MMMM"))</f>
        <v>NOVIEMBRE</v>
      </c>
      <c r="L95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0405-24</v>
      </c>
    </row>
    <row r="954" spans="1:12" x14ac:dyDescent="0.25">
      <c r="A954" s="52">
        <v>45626</v>
      </c>
      <c r="B954" s="27" t="s">
        <v>854</v>
      </c>
      <c r="C954" s="2" t="s">
        <v>1805</v>
      </c>
      <c r="D954" s="2">
        <v>9</v>
      </c>
      <c r="E954" s="27" t="s">
        <v>123</v>
      </c>
      <c r="F954" t="s">
        <v>15</v>
      </c>
      <c r="G954" s="47"/>
      <c r="H954" s="102"/>
      <c r="I954" s="63" t="s">
        <v>1005</v>
      </c>
      <c r="J954" t="str">
        <f>CONCATENATE(Tabla1[[#This Row],[OBRA]],"/",Tabla1[[#This Row],[CODIGO ENSAYO]])</f>
        <v>8-1/1-1</v>
      </c>
      <c r="K954" s="2" t="str">
        <f>UPPER(TEXT(Tabla1[[#This Row],[FECHA INF]],"MMMM"))</f>
        <v>NOVIEMBRE</v>
      </c>
      <c r="L95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0406-24</v>
      </c>
    </row>
    <row r="955" spans="1:12" x14ac:dyDescent="0.25">
      <c r="A955" s="52">
        <v>45626</v>
      </c>
      <c r="B955" s="27" t="s">
        <v>854</v>
      </c>
      <c r="C955" s="2" t="s">
        <v>1806</v>
      </c>
      <c r="D955" s="2">
        <v>3</v>
      </c>
      <c r="E955" s="27" t="s">
        <v>123</v>
      </c>
      <c r="F955" t="s">
        <v>15</v>
      </c>
      <c r="G955" s="47"/>
      <c r="H955" s="102"/>
      <c r="I955" s="63" t="s">
        <v>1005</v>
      </c>
      <c r="J955" t="str">
        <f>CONCATENATE(Tabla1[[#This Row],[OBRA]],"/",Tabla1[[#This Row],[CODIGO ENSAYO]])</f>
        <v>8-1/1-1</v>
      </c>
      <c r="K955" s="2" t="str">
        <f>UPPER(TEXT(Tabla1[[#This Row],[FECHA INF]],"MMMM"))</f>
        <v>NOVIEMBRE</v>
      </c>
      <c r="L95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0407-24</v>
      </c>
    </row>
    <row r="956" spans="1:12" x14ac:dyDescent="0.25">
      <c r="A956" s="52">
        <v>45626</v>
      </c>
      <c r="B956" s="27" t="s">
        <v>854</v>
      </c>
      <c r="C956" s="2" t="s">
        <v>1807</v>
      </c>
      <c r="D956" s="2">
        <v>9</v>
      </c>
      <c r="E956" s="27" t="s">
        <v>123</v>
      </c>
      <c r="F956" t="s">
        <v>15</v>
      </c>
      <c r="G956" s="47"/>
      <c r="H956" s="102"/>
      <c r="I956" s="63" t="s">
        <v>1005</v>
      </c>
      <c r="J956" t="str">
        <f>CONCATENATE(Tabla1[[#This Row],[OBRA]],"/",Tabla1[[#This Row],[CODIGO ENSAYO]])</f>
        <v>8-1/1-1</v>
      </c>
      <c r="K956" s="2" t="str">
        <f>UPPER(TEXT(Tabla1[[#This Row],[FECHA INF]],"MMMM"))</f>
        <v>NOVIEMBRE</v>
      </c>
      <c r="L95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0408-24</v>
      </c>
    </row>
    <row r="957" spans="1:12" x14ac:dyDescent="0.25">
      <c r="A957" s="52">
        <v>45626</v>
      </c>
      <c r="B957" s="27" t="s">
        <v>854</v>
      </c>
      <c r="C957" s="2" t="s">
        <v>1808</v>
      </c>
      <c r="D957" s="2">
        <v>6</v>
      </c>
      <c r="E957" s="27" t="s">
        <v>123</v>
      </c>
      <c r="F957" t="s">
        <v>15</v>
      </c>
      <c r="G957" s="47"/>
      <c r="H957" s="102"/>
      <c r="I957" s="63" t="s">
        <v>1005</v>
      </c>
      <c r="J957" t="str">
        <f>CONCATENATE(Tabla1[[#This Row],[OBRA]],"/",Tabla1[[#This Row],[CODIGO ENSAYO]])</f>
        <v>8-1/1-1</v>
      </c>
      <c r="K957" s="2" t="str">
        <f>UPPER(TEXT(Tabla1[[#This Row],[FECHA INF]],"MMMM"))</f>
        <v>NOVIEMBRE</v>
      </c>
      <c r="L95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0409-24</v>
      </c>
    </row>
    <row r="958" spans="1:12" x14ac:dyDescent="0.25">
      <c r="A958" s="52">
        <v>45626</v>
      </c>
      <c r="B958" s="27" t="s">
        <v>854</v>
      </c>
      <c r="C958" s="2" t="s">
        <v>1809</v>
      </c>
      <c r="D958" s="2">
        <v>3</v>
      </c>
      <c r="E958" s="27" t="s">
        <v>123</v>
      </c>
      <c r="F958" t="s">
        <v>15</v>
      </c>
      <c r="G958" s="47"/>
      <c r="H958" s="102"/>
      <c r="I958" s="63" t="s">
        <v>1005</v>
      </c>
      <c r="J958" t="str">
        <f>CONCATENATE(Tabla1[[#This Row],[OBRA]],"/",Tabla1[[#This Row],[CODIGO ENSAYO]])</f>
        <v>8-1/1-1</v>
      </c>
      <c r="K958" s="2" t="str">
        <f>UPPER(TEXT(Tabla1[[#This Row],[FECHA INF]],"MMMM"))</f>
        <v>NOVIEMBRE</v>
      </c>
      <c r="L95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0410-24</v>
      </c>
    </row>
    <row r="959" spans="1:12" hidden="1" x14ac:dyDescent="0.25">
      <c r="A959" s="52">
        <v>45626</v>
      </c>
      <c r="B959" s="27" t="s">
        <v>522</v>
      </c>
      <c r="C959" s="2" t="s">
        <v>1817</v>
      </c>
      <c r="D959" s="2">
        <v>3</v>
      </c>
      <c r="E959" s="27" t="s">
        <v>123</v>
      </c>
      <c r="F959" t="s">
        <v>15</v>
      </c>
      <c r="G959" s="47"/>
      <c r="H959" s="102"/>
      <c r="I959" s="63" t="s">
        <v>1005</v>
      </c>
      <c r="J959" t="str">
        <f>CONCATENATE(Tabla1[[#This Row],[OBRA]],"/",Tabla1[[#This Row],[CODIGO ENSAYO]])</f>
        <v>17-1/1-1</v>
      </c>
      <c r="K959" s="2" t="str">
        <f>UPPER(TEXT(Tabla1[[#This Row],[FECHA INF]],"MMMM"))</f>
        <v>NOVIEMBRE</v>
      </c>
      <c r="L95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0411-24</v>
      </c>
    </row>
    <row r="960" spans="1:12" x14ac:dyDescent="0.25">
      <c r="A960" s="52">
        <v>45626</v>
      </c>
      <c r="B960" s="27" t="s">
        <v>854</v>
      </c>
      <c r="C960" s="2" t="s">
        <v>1810</v>
      </c>
      <c r="D960" s="2">
        <v>3</v>
      </c>
      <c r="E960" s="27" t="s">
        <v>123</v>
      </c>
      <c r="F960" t="s">
        <v>15</v>
      </c>
      <c r="G960" s="47"/>
      <c r="H960" s="102"/>
      <c r="I960" s="63" t="s">
        <v>1005</v>
      </c>
      <c r="J960" t="str">
        <f>CONCATENATE(Tabla1[[#This Row],[OBRA]],"/",Tabla1[[#This Row],[CODIGO ENSAYO]])</f>
        <v>8-1/1-1</v>
      </c>
      <c r="K960" s="2" t="str">
        <f>UPPER(TEXT(Tabla1[[#This Row],[FECHA INF]],"MMMM"))</f>
        <v>NOVIEMBRE</v>
      </c>
      <c r="L96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0412-24</v>
      </c>
    </row>
    <row r="961" spans="1:12" hidden="1" x14ac:dyDescent="0.25">
      <c r="A961" s="52">
        <v>45626</v>
      </c>
      <c r="B961" s="27" t="s">
        <v>522</v>
      </c>
      <c r="C961" s="2" t="s">
        <v>1818</v>
      </c>
      <c r="D961" s="2">
        <v>2</v>
      </c>
      <c r="E961" s="27" t="s">
        <v>123</v>
      </c>
      <c r="F961" t="s">
        <v>15</v>
      </c>
      <c r="G961" s="47"/>
      <c r="H961" s="102"/>
      <c r="I961" s="63" t="s">
        <v>1005</v>
      </c>
      <c r="J961" t="str">
        <f>CONCATENATE(Tabla1[[#This Row],[OBRA]],"/",Tabla1[[#This Row],[CODIGO ENSAYO]])</f>
        <v>17-1/1-1</v>
      </c>
      <c r="K961" s="2" t="str">
        <f>UPPER(TEXT(Tabla1[[#This Row],[FECHA INF]],"MMMM"))</f>
        <v>NOVIEMBRE</v>
      </c>
      <c r="L96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0413-24</v>
      </c>
    </row>
    <row r="962" spans="1:12" hidden="1" x14ac:dyDescent="0.25">
      <c r="A962" s="52">
        <v>45626</v>
      </c>
      <c r="B962" s="27" t="s">
        <v>522</v>
      </c>
      <c r="C962" s="2" t="s">
        <v>1819</v>
      </c>
      <c r="D962" s="2">
        <v>4</v>
      </c>
      <c r="E962" s="27" t="s">
        <v>123</v>
      </c>
      <c r="F962" t="s">
        <v>15</v>
      </c>
      <c r="G962" s="47"/>
      <c r="H962" s="102"/>
      <c r="I962" s="63" t="s">
        <v>1005</v>
      </c>
      <c r="J962" t="str">
        <f>CONCATENATE(Tabla1[[#This Row],[OBRA]],"/",Tabla1[[#This Row],[CODIGO ENSAYO]])</f>
        <v>17-1/1-1</v>
      </c>
      <c r="K962" s="2" t="str">
        <f>UPPER(TEXT(Tabla1[[#This Row],[FECHA INF]],"MMMM"))</f>
        <v>NOVIEMBRE</v>
      </c>
      <c r="L96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0420-24</v>
      </c>
    </row>
    <row r="963" spans="1:12" hidden="1" x14ac:dyDescent="0.25">
      <c r="A963" s="52">
        <v>45656</v>
      </c>
      <c r="B963" s="27" t="s">
        <v>148</v>
      </c>
      <c r="C963" s="2" t="s">
        <v>1779</v>
      </c>
      <c r="D963" s="2">
        <v>1</v>
      </c>
      <c r="E963" s="27" t="s">
        <v>139</v>
      </c>
      <c r="F963" t="s">
        <v>468</v>
      </c>
      <c r="G963" s="47"/>
      <c r="H963" s="102"/>
      <c r="I963" s="63"/>
      <c r="J963" t="s">
        <v>1821</v>
      </c>
      <c r="K963" s="2" t="s">
        <v>1437</v>
      </c>
      <c r="L96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0400-24</v>
      </c>
    </row>
    <row r="964" spans="1:12" hidden="1" x14ac:dyDescent="0.25">
      <c r="A964" s="52">
        <v>45656</v>
      </c>
      <c r="B964" s="27" t="s">
        <v>148</v>
      </c>
      <c r="C964" s="2" t="s">
        <v>1780</v>
      </c>
      <c r="D964" s="2">
        <v>1</v>
      </c>
      <c r="E964" s="27" t="s">
        <v>166</v>
      </c>
      <c r="F964" t="s">
        <v>44</v>
      </c>
      <c r="G964" s="47"/>
      <c r="H964" s="102"/>
      <c r="I964" s="63"/>
      <c r="J964" t="s">
        <v>1822</v>
      </c>
      <c r="K964" s="2" t="s">
        <v>1437</v>
      </c>
      <c r="L96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0401-24</v>
      </c>
    </row>
    <row r="965" spans="1:12" hidden="1" x14ac:dyDescent="0.25">
      <c r="A965" s="52">
        <v>45656</v>
      </c>
      <c r="B965" s="27" t="s">
        <v>148</v>
      </c>
      <c r="C965" s="2" t="s">
        <v>1781</v>
      </c>
      <c r="D965" s="2">
        <v>1</v>
      </c>
      <c r="E965" s="27" t="s">
        <v>158</v>
      </c>
      <c r="F965" t="s">
        <v>38</v>
      </c>
      <c r="G965" s="47"/>
      <c r="H965" s="102"/>
      <c r="I965" s="63"/>
      <c r="J965" t="s">
        <v>1823</v>
      </c>
      <c r="K965" s="2" t="s">
        <v>1437</v>
      </c>
      <c r="L96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0402-24</v>
      </c>
    </row>
    <row r="966" spans="1:12" hidden="1" x14ac:dyDescent="0.25">
      <c r="A966" s="52">
        <v>45657</v>
      </c>
      <c r="B966" s="27" t="s">
        <v>522</v>
      </c>
      <c r="C966" s="2" t="s">
        <v>1831</v>
      </c>
      <c r="D966" s="2">
        <v>1</v>
      </c>
      <c r="E966" s="27" t="s">
        <v>175</v>
      </c>
      <c r="F966" t="s">
        <v>390</v>
      </c>
      <c r="G966" s="47"/>
      <c r="H966" s="102"/>
      <c r="I966" s="63"/>
      <c r="J966" t="s">
        <v>1832</v>
      </c>
      <c r="K966" s="2" t="s">
        <v>1437</v>
      </c>
      <c r="L96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(Transporte 02-12-2024)</v>
      </c>
    </row>
    <row r="967" spans="1:12" hidden="1" x14ac:dyDescent="0.25">
      <c r="A967" s="52">
        <v>45657</v>
      </c>
      <c r="B967" s="27" t="s">
        <v>522</v>
      </c>
      <c r="C967" s="2" t="s">
        <v>1824</v>
      </c>
      <c r="D967" s="2">
        <v>9</v>
      </c>
      <c r="E967" s="27" t="s">
        <v>123</v>
      </c>
      <c r="F967" t="s">
        <v>15</v>
      </c>
      <c r="G967" s="47"/>
      <c r="H967" s="102"/>
      <c r="I967" s="63"/>
      <c r="J967" t="s">
        <v>1825</v>
      </c>
      <c r="K967" s="2" t="s">
        <v>1437</v>
      </c>
      <c r="L96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0424-24</v>
      </c>
    </row>
    <row r="968" spans="1:12" hidden="1" x14ac:dyDescent="0.25">
      <c r="A968" s="52">
        <v>45657</v>
      </c>
      <c r="B968" s="27" t="s">
        <v>522</v>
      </c>
      <c r="C968" s="2" t="s">
        <v>1826</v>
      </c>
      <c r="D968" s="2">
        <v>2</v>
      </c>
      <c r="E968" s="27" t="s">
        <v>123</v>
      </c>
      <c r="F968" t="s">
        <v>15</v>
      </c>
      <c r="G968" s="47"/>
      <c r="H968" s="102"/>
      <c r="I968" s="63"/>
      <c r="J968" t="s">
        <v>1825</v>
      </c>
      <c r="K968" s="2" t="s">
        <v>1437</v>
      </c>
      <c r="L96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0427-24</v>
      </c>
    </row>
    <row r="969" spans="1:12" hidden="1" x14ac:dyDescent="0.25">
      <c r="A969" s="52">
        <v>45657</v>
      </c>
      <c r="B969" s="27" t="s">
        <v>522</v>
      </c>
      <c r="C969" s="2" t="s">
        <v>1827</v>
      </c>
      <c r="D969" s="2">
        <v>4</v>
      </c>
      <c r="E969" s="27" t="s">
        <v>123</v>
      </c>
      <c r="F969" t="s">
        <v>15</v>
      </c>
      <c r="G969" s="47"/>
      <c r="H969" s="102"/>
      <c r="I969" s="63"/>
      <c r="J969" t="s">
        <v>1825</v>
      </c>
      <c r="K969" s="2" t="s">
        <v>1437</v>
      </c>
      <c r="L96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0428-24</v>
      </c>
    </row>
    <row r="970" spans="1:12" hidden="1" x14ac:dyDescent="0.25">
      <c r="A970" s="52">
        <v>45657</v>
      </c>
      <c r="B970" s="27" t="s">
        <v>522</v>
      </c>
      <c r="C970" s="2" t="s">
        <v>1828</v>
      </c>
      <c r="D970" s="2">
        <v>5</v>
      </c>
      <c r="E970" s="27" t="s">
        <v>123</v>
      </c>
      <c r="F970" t="s">
        <v>15</v>
      </c>
      <c r="G970" s="47"/>
      <c r="H970" s="102"/>
      <c r="I970" s="63"/>
      <c r="J970" t="s">
        <v>1825</v>
      </c>
      <c r="K970" s="2" t="s">
        <v>1437</v>
      </c>
      <c r="L97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0433-24</v>
      </c>
    </row>
    <row r="971" spans="1:12" hidden="1" x14ac:dyDescent="0.25">
      <c r="A971" s="52">
        <v>45657</v>
      </c>
      <c r="B971" s="27" t="s">
        <v>522</v>
      </c>
      <c r="C971" s="2" t="s">
        <v>1829</v>
      </c>
      <c r="D971" s="2">
        <v>6</v>
      </c>
      <c r="E971" s="27" t="s">
        <v>123</v>
      </c>
      <c r="F971" t="s">
        <v>15</v>
      </c>
      <c r="G971" s="47"/>
      <c r="H971" s="102"/>
      <c r="I971" s="63"/>
      <c r="J971" t="s">
        <v>1825</v>
      </c>
      <c r="K971" s="2" t="s">
        <v>1437</v>
      </c>
      <c r="L97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0440-24</v>
      </c>
    </row>
    <row r="972" spans="1:12" hidden="1" x14ac:dyDescent="0.25">
      <c r="A972" s="52">
        <v>45657</v>
      </c>
      <c r="B972" s="27" t="s">
        <v>522</v>
      </c>
      <c r="C972" s="2" t="s">
        <v>1830</v>
      </c>
      <c r="D972" s="2">
        <v>3</v>
      </c>
      <c r="E972" s="27" t="s">
        <v>123</v>
      </c>
      <c r="F972" t="s">
        <v>15</v>
      </c>
      <c r="G972" s="47"/>
      <c r="H972" s="102"/>
      <c r="I972" s="63"/>
      <c r="J972" t="s">
        <v>1825</v>
      </c>
      <c r="K972" s="2" t="s">
        <v>1437</v>
      </c>
      <c r="L97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0450-24</v>
      </c>
    </row>
    <row r="973" spans="1:12" x14ac:dyDescent="0.25">
      <c r="A973" s="52">
        <v>45657</v>
      </c>
      <c r="B973" s="27" t="s">
        <v>854</v>
      </c>
      <c r="C973" s="2" t="s">
        <v>1833</v>
      </c>
      <c r="D973" s="2">
        <v>1</v>
      </c>
      <c r="E973" s="27" t="s">
        <v>139</v>
      </c>
      <c r="F973" t="s">
        <v>468</v>
      </c>
      <c r="G973" s="47"/>
      <c r="H973" s="102"/>
      <c r="I973" s="63" t="s">
        <v>1005</v>
      </c>
      <c r="J973" t="s">
        <v>1834</v>
      </c>
      <c r="K973" s="2" t="s">
        <v>1437</v>
      </c>
      <c r="L97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0443-24</v>
      </c>
    </row>
    <row r="974" spans="1:12" x14ac:dyDescent="0.25">
      <c r="A974" s="52">
        <v>45657</v>
      </c>
      <c r="B974" s="27" t="s">
        <v>854</v>
      </c>
      <c r="C974" s="2" t="s">
        <v>1835</v>
      </c>
      <c r="D974" s="2">
        <v>1</v>
      </c>
      <c r="E974" s="27" t="s">
        <v>166</v>
      </c>
      <c r="F974" t="s">
        <v>44</v>
      </c>
      <c r="G974" s="47"/>
      <c r="H974" s="102"/>
      <c r="I974" s="63" t="s">
        <v>1005</v>
      </c>
      <c r="J974" t="s">
        <v>1836</v>
      </c>
      <c r="K974" s="2" t="s">
        <v>1437</v>
      </c>
      <c r="L97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0444-24</v>
      </c>
    </row>
    <row r="975" spans="1:12" x14ac:dyDescent="0.25">
      <c r="A975" s="52">
        <v>45657</v>
      </c>
      <c r="B975" s="27" t="s">
        <v>854</v>
      </c>
      <c r="C975" s="2" t="s">
        <v>1837</v>
      </c>
      <c r="D975" s="2">
        <v>1</v>
      </c>
      <c r="E975" s="27" t="s">
        <v>158</v>
      </c>
      <c r="F975" t="s">
        <v>38</v>
      </c>
      <c r="G975" s="47"/>
      <c r="H975" s="102"/>
      <c r="I975" s="63" t="s">
        <v>1005</v>
      </c>
      <c r="J975" t="s">
        <v>1838</v>
      </c>
      <c r="K975" s="2" t="s">
        <v>1437</v>
      </c>
      <c r="L97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0445-24</v>
      </c>
    </row>
    <row r="976" spans="1:12" x14ac:dyDescent="0.25">
      <c r="A976" s="52">
        <v>45657</v>
      </c>
      <c r="B976" s="27" t="s">
        <v>854</v>
      </c>
      <c r="C976" s="2" t="s">
        <v>1839</v>
      </c>
      <c r="D976" s="2">
        <v>1</v>
      </c>
      <c r="E976" s="27" t="s">
        <v>139</v>
      </c>
      <c r="F976" t="s">
        <v>468</v>
      </c>
      <c r="G976" s="47"/>
      <c r="H976" s="102"/>
      <c r="I976" s="63" t="s">
        <v>1005</v>
      </c>
      <c r="J976" t="s">
        <v>1834</v>
      </c>
      <c r="K976" s="2" t="s">
        <v>1437</v>
      </c>
      <c r="L97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0446-24</v>
      </c>
    </row>
    <row r="977" spans="1:12" x14ac:dyDescent="0.25">
      <c r="A977" s="52">
        <v>45657</v>
      </c>
      <c r="B977" s="27" t="s">
        <v>854</v>
      </c>
      <c r="C977" s="2" t="s">
        <v>1840</v>
      </c>
      <c r="D977" s="2">
        <v>1</v>
      </c>
      <c r="E977" s="27" t="s">
        <v>163</v>
      </c>
      <c r="F977" t="s">
        <v>2</v>
      </c>
      <c r="G977" s="47"/>
      <c r="H977" s="102"/>
      <c r="I977" s="63" t="s">
        <v>1005</v>
      </c>
      <c r="J977" t="s">
        <v>1841</v>
      </c>
      <c r="K977" s="2" t="s">
        <v>1437</v>
      </c>
      <c r="L97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04147-24</v>
      </c>
    </row>
    <row r="978" spans="1:12" x14ac:dyDescent="0.25">
      <c r="A978" s="52">
        <v>45657</v>
      </c>
      <c r="B978" s="27" t="s">
        <v>854</v>
      </c>
      <c r="C978" s="2" t="s">
        <v>1842</v>
      </c>
      <c r="D978" s="2">
        <v>1</v>
      </c>
      <c r="E978" s="27" t="s">
        <v>159</v>
      </c>
      <c r="F978" t="s">
        <v>39</v>
      </c>
      <c r="G978" s="47"/>
      <c r="H978" s="102"/>
      <c r="I978" s="63" t="s">
        <v>1005</v>
      </c>
      <c r="J978" t="s">
        <v>1843</v>
      </c>
      <c r="K978" s="2" t="s">
        <v>1437</v>
      </c>
      <c r="L97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0448-24</v>
      </c>
    </row>
    <row r="979" spans="1:12" x14ac:dyDescent="0.25">
      <c r="A979" s="52">
        <v>45657</v>
      </c>
      <c r="B979" s="27" t="s">
        <v>854</v>
      </c>
      <c r="C979" s="2" t="s">
        <v>1844</v>
      </c>
      <c r="D979" s="2">
        <v>6</v>
      </c>
      <c r="E979" s="27" t="s">
        <v>123</v>
      </c>
      <c r="F979" t="s">
        <v>15</v>
      </c>
      <c r="G979" s="47"/>
      <c r="H979" s="102"/>
      <c r="I979" s="63" t="s">
        <v>1005</v>
      </c>
      <c r="J979" t="s">
        <v>1845</v>
      </c>
      <c r="K979" s="2" t="s">
        <v>1437</v>
      </c>
      <c r="L97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0421-24</v>
      </c>
    </row>
    <row r="980" spans="1:12" x14ac:dyDescent="0.25">
      <c r="A980" s="52">
        <v>45657</v>
      </c>
      <c r="B980" s="27" t="s">
        <v>854</v>
      </c>
      <c r="C980" s="2" t="s">
        <v>1846</v>
      </c>
      <c r="D980" s="2">
        <v>6</v>
      </c>
      <c r="E980" s="27" t="s">
        <v>123</v>
      </c>
      <c r="F980" t="s">
        <v>15</v>
      </c>
      <c r="G980" s="47"/>
      <c r="H980" s="102"/>
      <c r="I980" s="63" t="s">
        <v>1005</v>
      </c>
      <c r="J980" t="s">
        <v>1845</v>
      </c>
      <c r="K980" s="2" t="s">
        <v>1437</v>
      </c>
      <c r="L98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0422-24</v>
      </c>
    </row>
    <row r="981" spans="1:12" x14ac:dyDescent="0.25">
      <c r="A981" s="52">
        <v>45657</v>
      </c>
      <c r="B981" s="27" t="s">
        <v>854</v>
      </c>
      <c r="C981" s="2" t="s">
        <v>1847</v>
      </c>
      <c r="D981" s="2">
        <v>3</v>
      </c>
      <c r="E981" s="27" t="s">
        <v>123</v>
      </c>
      <c r="F981" t="s">
        <v>15</v>
      </c>
      <c r="G981" s="47"/>
      <c r="H981" s="102"/>
      <c r="I981" s="63" t="s">
        <v>1005</v>
      </c>
      <c r="J981" t="s">
        <v>1845</v>
      </c>
      <c r="K981" s="2" t="s">
        <v>1437</v>
      </c>
      <c r="L98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0423-24</v>
      </c>
    </row>
    <row r="982" spans="1:12" x14ac:dyDescent="0.25">
      <c r="A982" s="52">
        <v>45657</v>
      </c>
      <c r="B982" s="27" t="s">
        <v>854</v>
      </c>
      <c r="C982" s="2" t="s">
        <v>1848</v>
      </c>
      <c r="D982" s="2">
        <v>6</v>
      </c>
      <c r="E982" s="27" t="s">
        <v>123</v>
      </c>
      <c r="F982" t="s">
        <v>15</v>
      </c>
      <c r="G982" s="47"/>
      <c r="H982" s="102"/>
      <c r="I982" s="63" t="s">
        <v>1005</v>
      </c>
      <c r="J982" t="s">
        <v>1845</v>
      </c>
      <c r="K982" s="2" t="s">
        <v>1437</v>
      </c>
      <c r="L98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0425-24</v>
      </c>
    </row>
    <row r="983" spans="1:12" x14ac:dyDescent="0.25">
      <c r="A983" s="52">
        <v>45657</v>
      </c>
      <c r="B983" s="27" t="s">
        <v>854</v>
      </c>
      <c r="C983" s="2" t="s">
        <v>1849</v>
      </c>
      <c r="D983" s="2">
        <v>3</v>
      </c>
      <c r="E983" s="27" t="s">
        <v>123</v>
      </c>
      <c r="F983" t="s">
        <v>15</v>
      </c>
      <c r="G983" s="47"/>
      <c r="H983" s="102"/>
      <c r="I983" s="63" t="s">
        <v>1005</v>
      </c>
      <c r="J983" t="s">
        <v>1845</v>
      </c>
      <c r="K983" s="2" t="s">
        <v>1437</v>
      </c>
      <c r="L98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0429-24</v>
      </c>
    </row>
    <row r="984" spans="1:12" x14ac:dyDescent="0.25">
      <c r="A984" s="52">
        <v>45657</v>
      </c>
      <c r="B984" s="27" t="s">
        <v>854</v>
      </c>
      <c r="C984" s="2" t="s">
        <v>1850</v>
      </c>
      <c r="D984" s="2">
        <v>6</v>
      </c>
      <c r="E984" s="27" t="s">
        <v>123</v>
      </c>
      <c r="F984" t="s">
        <v>15</v>
      </c>
      <c r="G984" s="47"/>
      <c r="H984" s="102"/>
      <c r="I984" s="63" t="s">
        <v>1005</v>
      </c>
      <c r="J984" t="s">
        <v>1845</v>
      </c>
      <c r="K984" s="2" t="s">
        <v>1437</v>
      </c>
      <c r="L98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0430-24</v>
      </c>
    </row>
    <row r="985" spans="1:12" x14ac:dyDescent="0.25">
      <c r="A985" s="52">
        <v>45657</v>
      </c>
      <c r="B985" s="27" t="s">
        <v>854</v>
      </c>
      <c r="C985" s="2" t="s">
        <v>1851</v>
      </c>
      <c r="D985" s="2">
        <v>6</v>
      </c>
      <c r="E985" s="27" t="s">
        <v>123</v>
      </c>
      <c r="F985" t="s">
        <v>15</v>
      </c>
      <c r="G985" s="47"/>
      <c r="H985" s="102"/>
      <c r="I985" s="63" t="s">
        <v>1005</v>
      </c>
      <c r="J985" t="s">
        <v>1845</v>
      </c>
      <c r="K985" s="2" t="s">
        <v>1437</v>
      </c>
      <c r="L98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0431-24</v>
      </c>
    </row>
    <row r="986" spans="1:12" x14ac:dyDescent="0.25">
      <c r="A986" s="52">
        <v>45657</v>
      </c>
      <c r="B986" s="27" t="s">
        <v>854</v>
      </c>
      <c r="C986" s="2" t="s">
        <v>1852</v>
      </c>
      <c r="D986" s="2">
        <v>3</v>
      </c>
      <c r="E986" s="27" t="s">
        <v>123</v>
      </c>
      <c r="F986" t="s">
        <v>15</v>
      </c>
      <c r="G986" s="47"/>
      <c r="H986" s="102"/>
      <c r="I986" s="63" t="s">
        <v>1005</v>
      </c>
      <c r="J986" t="s">
        <v>1845</v>
      </c>
      <c r="K986" s="2" t="s">
        <v>1437</v>
      </c>
      <c r="L98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0432-24</v>
      </c>
    </row>
    <row r="987" spans="1:12" x14ac:dyDescent="0.25">
      <c r="A987" s="52">
        <v>45657</v>
      </c>
      <c r="B987" s="27" t="s">
        <v>854</v>
      </c>
      <c r="C987" s="2" t="s">
        <v>1853</v>
      </c>
      <c r="D987" s="2">
        <v>6</v>
      </c>
      <c r="E987" s="27" t="s">
        <v>123</v>
      </c>
      <c r="F987" t="s">
        <v>15</v>
      </c>
      <c r="G987" s="47"/>
      <c r="H987" s="102"/>
      <c r="I987" s="63" t="s">
        <v>1005</v>
      </c>
      <c r="J987" t="s">
        <v>1845</v>
      </c>
      <c r="K987" s="2" t="s">
        <v>1437</v>
      </c>
      <c r="L98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0434-24</v>
      </c>
    </row>
    <row r="988" spans="1:12" x14ac:dyDescent="0.25">
      <c r="A988" s="52">
        <v>45657</v>
      </c>
      <c r="B988" s="27" t="s">
        <v>854</v>
      </c>
      <c r="C988" s="2" t="s">
        <v>1854</v>
      </c>
      <c r="D988" s="2">
        <v>3</v>
      </c>
      <c r="E988" s="27" t="s">
        <v>123</v>
      </c>
      <c r="F988" t="s">
        <v>15</v>
      </c>
      <c r="G988" s="47"/>
      <c r="H988" s="102"/>
      <c r="I988" s="63" t="s">
        <v>1005</v>
      </c>
      <c r="J988" t="s">
        <v>1845</v>
      </c>
      <c r="K988" s="2" t="s">
        <v>1437</v>
      </c>
      <c r="L98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0435-24</v>
      </c>
    </row>
    <row r="989" spans="1:12" x14ac:dyDescent="0.25">
      <c r="A989" s="52">
        <v>45657</v>
      </c>
      <c r="B989" s="27" t="s">
        <v>854</v>
      </c>
      <c r="C989" s="2" t="s">
        <v>1855</v>
      </c>
      <c r="D989" s="2">
        <v>6</v>
      </c>
      <c r="E989" s="27" t="s">
        <v>123</v>
      </c>
      <c r="F989" t="s">
        <v>15</v>
      </c>
      <c r="G989" s="47"/>
      <c r="H989" s="102"/>
      <c r="I989" s="63" t="s">
        <v>1005</v>
      </c>
      <c r="J989" t="s">
        <v>1845</v>
      </c>
      <c r="K989" s="2" t="s">
        <v>1437</v>
      </c>
      <c r="L98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0437-24</v>
      </c>
    </row>
    <row r="990" spans="1:12" x14ac:dyDescent="0.25">
      <c r="A990" s="52">
        <v>45657</v>
      </c>
      <c r="B990" s="27" t="s">
        <v>854</v>
      </c>
      <c r="C990" s="2" t="s">
        <v>1856</v>
      </c>
      <c r="D990" s="2">
        <v>3</v>
      </c>
      <c r="E990" s="27" t="s">
        <v>123</v>
      </c>
      <c r="F990" t="s">
        <v>15</v>
      </c>
      <c r="G990" s="47"/>
      <c r="H990" s="102"/>
      <c r="I990" s="63" t="s">
        <v>1005</v>
      </c>
      <c r="J990" t="s">
        <v>1845</v>
      </c>
      <c r="K990" s="2" t="s">
        <v>1437</v>
      </c>
      <c r="L99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0438-24</v>
      </c>
    </row>
    <row r="991" spans="1:12" x14ac:dyDescent="0.25">
      <c r="A991" s="52">
        <v>45657</v>
      </c>
      <c r="B991" s="27" t="s">
        <v>854</v>
      </c>
      <c r="C991" s="2" t="s">
        <v>1857</v>
      </c>
      <c r="D991" s="2">
        <v>3</v>
      </c>
      <c r="E991" s="27" t="s">
        <v>123</v>
      </c>
      <c r="F991" t="s">
        <v>15</v>
      </c>
      <c r="G991" s="47"/>
      <c r="H991" s="102"/>
      <c r="I991" s="63" t="s">
        <v>1005</v>
      </c>
      <c r="J991" t="s">
        <v>1845</v>
      </c>
      <c r="K991" s="2" t="s">
        <v>1437</v>
      </c>
      <c r="L99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0439-24</v>
      </c>
    </row>
    <row r="992" spans="1:12" x14ac:dyDescent="0.25">
      <c r="A992" s="52">
        <v>45657</v>
      </c>
      <c r="B992" s="27" t="s">
        <v>854</v>
      </c>
      <c r="C992" s="2" t="s">
        <v>1858</v>
      </c>
      <c r="D992" s="2">
        <v>3</v>
      </c>
      <c r="E992" s="27" t="s">
        <v>123</v>
      </c>
      <c r="F992" t="s">
        <v>15</v>
      </c>
      <c r="G992" s="47"/>
      <c r="H992" s="102"/>
      <c r="I992" s="63" t="s">
        <v>1005</v>
      </c>
      <c r="J992" t="s">
        <v>1845</v>
      </c>
      <c r="K992" s="2" t="s">
        <v>1437</v>
      </c>
      <c r="L99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0441-24</v>
      </c>
    </row>
    <row r="993" spans="1:12" x14ac:dyDescent="0.25">
      <c r="A993" s="52">
        <v>45657</v>
      </c>
      <c r="B993" s="27" t="s">
        <v>854</v>
      </c>
      <c r="C993" s="2" t="s">
        <v>1859</v>
      </c>
      <c r="D993" s="2">
        <v>9</v>
      </c>
      <c r="E993" s="27" t="s">
        <v>123</v>
      </c>
      <c r="F993" t="s">
        <v>15</v>
      </c>
      <c r="G993" s="47"/>
      <c r="H993" s="102"/>
      <c r="I993" s="63" t="s">
        <v>1005</v>
      </c>
      <c r="J993" t="s">
        <v>1845</v>
      </c>
      <c r="K993" s="2" t="s">
        <v>1437</v>
      </c>
      <c r="L99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0442-24</v>
      </c>
    </row>
    <row r="994" spans="1:12" x14ac:dyDescent="0.25">
      <c r="A994" s="52">
        <v>45657</v>
      </c>
      <c r="B994" s="27" t="s">
        <v>854</v>
      </c>
      <c r="C994" s="2" t="s">
        <v>1860</v>
      </c>
      <c r="D994" s="2">
        <v>3</v>
      </c>
      <c r="E994" s="27" t="s">
        <v>123</v>
      </c>
      <c r="F994" t="s">
        <v>15</v>
      </c>
      <c r="G994" s="47"/>
      <c r="H994" s="102"/>
      <c r="I994" s="63" t="s">
        <v>1005</v>
      </c>
      <c r="J994" t="s">
        <v>1845</v>
      </c>
      <c r="K994" s="2" t="s">
        <v>1437</v>
      </c>
      <c r="L99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0449-24</v>
      </c>
    </row>
    <row r="995" spans="1:12" x14ac:dyDescent="0.25">
      <c r="A995" s="52">
        <v>45688</v>
      </c>
      <c r="B995" s="27" t="s">
        <v>854</v>
      </c>
      <c r="C995" s="2" t="s">
        <v>1861</v>
      </c>
      <c r="D995" s="2">
        <v>1</v>
      </c>
      <c r="E995" s="27" t="s">
        <v>143</v>
      </c>
      <c r="F995" t="s">
        <v>467</v>
      </c>
      <c r="G995" s="47"/>
      <c r="H995" s="102"/>
      <c r="I995" s="63" t="s">
        <v>1005</v>
      </c>
      <c r="J995" t="s">
        <v>1862</v>
      </c>
      <c r="K995" s="2" t="s">
        <v>1493</v>
      </c>
      <c r="L99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0010-25</v>
      </c>
    </row>
    <row r="996" spans="1:12" x14ac:dyDescent="0.25">
      <c r="A996" s="52">
        <v>45688</v>
      </c>
      <c r="B996" s="27" t="s">
        <v>854</v>
      </c>
      <c r="C996" s="2" t="s">
        <v>1863</v>
      </c>
      <c r="D996" s="2">
        <v>1</v>
      </c>
      <c r="E996" s="27" t="s">
        <v>166</v>
      </c>
      <c r="F996" t="s">
        <v>44</v>
      </c>
      <c r="G996" s="47"/>
      <c r="H996" s="102"/>
      <c r="I996" s="63" t="s">
        <v>1005</v>
      </c>
      <c r="J996" t="s">
        <v>1836</v>
      </c>
      <c r="K996" s="2" t="s">
        <v>1493</v>
      </c>
      <c r="L99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0011-25</v>
      </c>
    </row>
    <row r="997" spans="1:12" x14ac:dyDescent="0.25">
      <c r="A997" s="52">
        <v>45688</v>
      </c>
      <c r="B997" s="27" t="s">
        <v>854</v>
      </c>
      <c r="C997" s="2" t="s">
        <v>1864</v>
      </c>
      <c r="D997" s="2">
        <v>1</v>
      </c>
      <c r="E997" s="27" t="s">
        <v>158</v>
      </c>
      <c r="F997" t="s">
        <v>38</v>
      </c>
      <c r="G997" s="47"/>
      <c r="H997" s="102"/>
      <c r="I997" s="63" t="s">
        <v>1005</v>
      </c>
      <c r="J997" t="s">
        <v>1838</v>
      </c>
      <c r="K997" s="2" t="s">
        <v>1493</v>
      </c>
      <c r="L99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0012-25</v>
      </c>
    </row>
    <row r="998" spans="1:12" x14ac:dyDescent="0.25">
      <c r="A998" s="52">
        <v>45688</v>
      </c>
      <c r="B998" s="27" t="s">
        <v>854</v>
      </c>
      <c r="C998" s="2" t="s">
        <v>1865</v>
      </c>
      <c r="D998" s="2">
        <v>1</v>
      </c>
      <c r="E998" s="27" t="s">
        <v>139</v>
      </c>
      <c r="F998" t="s">
        <v>468</v>
      </c>
      <c r="G998" s="47"/>
      <c r="H998" s="102"/>
      <c r="I998" s="63" t="s">
        <v>1005</v>
      </c>
      <c r="J998" t="s">
        <v>1834</v>
      </c>
      <c r="K998" s="2" t="s">
        <v>1493</v>
      </c>
      <c r="L99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0013-25</v>
      </c>
    </row>
    <row r="999" spans="1:12" x14ac:dyDescent="0.25">
      <c r="A999" s="52">
        <v>45688</v>
      </c>
      <c r="B999" s="27" t="s">
        <v>854</v>
      </c>
      <c r="C999" s="2" t="s">
        <v>1866</v>
      </c>
      <c r="D999" s="2">
        <v>1</v>
      </c>
      <c r="E999" s="27" t="s">
        <v>163</v>
      </c>
      <c r="F999" t="s">
        <v>2</v>
      </c>
      <c r="G999" s="47"/>
      <c r="H999" s="102"/>
      <c r="I999" s="63" t="s">
        <v>1005</v>
      </c>
      <c r="J999" t="s">
        <v>1841</v>
      </c>
      <c r="K999" s="2" t="s">
        <v>1493</v>
      </c>
      <c r="L99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0014-25</v>
      </c>
    </row>
    <row r="1000" spans="1:12" x14ac:dyDescent="0.25">
      <c r="A1000" s="52">
        <v>45688</v>
      </c>
      <c r="B1000" s="27" t="s">
        <v>854</v>
      </c>
      <c r="C1000" s="2" t="s">
        <v>1867</v>
      </c>
      <c r="D1000" s="2">
        <v>1</v>
      </c>
      <c r="E1000" s="27" t="s">
        <v>159</v>
      </c>
      <c r="F1000" t="s">
        <v>39</v>
      </c>
      <c r="G1000" s="47"/>
      <c r="H1000" s="102"/>
      <c r="I1000" s="63" t="s">
        <v>1005</v>
      </c>
      <c r="J1000" t="s">
        <v>1843</v>
      </c>
      <c r="K1000" s="2" t="s">
        <v>1493</v>
      </c>
      <c r="L100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0015-25</v>
      </c>
    </row>
    <row r="1001" spans="1:12" x14ac:dyDescent="0.25">
      <c r="A1001" s="52">
        <v>45688</v>
      </c>
      <c r="B1001" s="27" t="s">
        <v>854</v>
      </c>
      <c r="C1001" s="2" t="s">
        <v>1868</v>
      </c>
      <c r="D1001" s="2">
        <v>3</v>
      </c>
      <c r="E1001" s="27" t="s">
        <v>123</v>
      </c>
      <c r="F1001" t="s">
        <v>15</v>
      </c>
      <c r="G1001" s="47"/>
      <c r="H1001" s="102"/>
      <c r="I1001" s="63" t="s">
        <v>1005</v>
      </c>
      <c r="J1001" t="s">
        <v>1845</v>
      </c>
      <c r="K1001" s="2" t="s">
        <v>1493</v>
      </c>
      <c r="L100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0001-25</v>
      </c>
    </row>
    <row r="1002" spans="1:12" x14ac:dyDescent="0.25">
      <c r="A1002" s="52">
        <v>45688</v>
      </c>
      <c r="B1002" s="27" t="s">
        <v>854</v>
      </c>
      <c r="C1002" s="2" t="s">
        <v>1869</v>
      </c>
      <c r="D1002" s="2">
        <v>6</v>
      </c>
      <c r="E1002" s="27" t="s">
        <v>123</v>
      </c>
      <c r="F1002" t="s">
        <v>15</v>
      </c>
      <c r="G1002" s="47"/>
      <c r="H1002" s="102"/>
      <c r="I1002" s="63" t="s">
        <v>1005</v>
      </c>
      <c r="J1002" t="s">
        <v>1845</v>
      </c>
      <c r="K1002" s="2" t="s">
        <v>1493</v>
      </c>
      <c r="L100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0002-25</v>
      </c>
    </row>
    <row r="1003" spans="1:12" x14ac:dyDescent="0.25">
      <c r="A1003" s="52">
        <v>45688</v>
      </c>
      <c r="B1003" s="27" t="s">
        <v>854</v>
      </c>
      <c r="C1003" s="2" t="s">
        <v>1870</v>
      </c>
      <c r="D1003" s="2">
        <v>3</v>
      </c>
      <c r="E1003" s="27" t="s">
        <v>123</v>
      </c>
      <c r="F1003" t="s">
        <v>15</v>
      </c>
      <c r="G1003" s="47"/>
      <c r="H1003" s="102"/>
      <c r="I1003" s="63" t="s">
        <v>1005</v>
      </c>
      <c r="J1003" t="s">
        <v>1845</v>
      </c>
      <c r="K1003" s="2" t="s">
        <v>1493</v>
      </c>
      <c r="L100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0003-25</v>
      </c>
    </row>
    <row r="1004" spans="1:12" x14ac:dyDescent="0.25">
      <c r="A1004" s="52">
        <v>45688</v>
      </c>
      <c r="B1004" s="27" t="s">
        <v>854</v>
      </c>
      <c r="C1004" s="2" t="s">
        <v>1871</v>
      </c>
      <c r="D1004" s="2">
        <v>6</v>
      </c>
      <c r="E1004" s="27" t="s">
        <v>123</v>
      </c>
      <c r="F1004" t="s">
        <v>15</v>
      </c>
      <c r="G1004" s="47"/>
      <c r="H1004" s="102"/>
      <c r="I1004" s="63" t="s">
        <v>1005</v>
      </c>
      <c r="J1004" t="s">
        <v>1845</v>
      </c>
      <c r="K1004" s="2" t="s">
        <v>1493</v>
      </c>
      <c r="L100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0004-25</v>
      </c>
    </row>
    <row r="1005" spans="1:12" x14ac:dyDescent="0.25">
      <c r="A1005" s="52">
        <v>45688</v>
      </c>
      <c r="B1005" s="27" t="s">
        <v>854</v>
      </c>
      <c r="C1005" s="2" t="s">
        <v>1872</v>
      </c>
      <c r="D1005" s="2">
        <v>3</v>
      </c>
      <c r="E1005" s="27" t="s">
        <v>123</v>
      </c>
      <c r="F1005" t="s">
        <v>15</v>
      </c>
      <c r="G1005" s="47"/>
      <c r="H1005" s="102"/>
      <c r="I1005" s="63" t="s">
        <v>1005</v>
      </c>
      <c r="J1005" t="s">
        <v>1845</v>
      </c>
      <c r="K1005" s="2" t="s">
        <v>1493</v>
      </c>
      <c r="L100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0016-25</v>
      </c>
    </row>
    <row r="1006" spans="1:12" x14ac:dyDescent="0.25">
      <c r="A1006" s="52">
        <v>45688</v>
      </c>
      <c r="B1006" s="27" t="s">
        <v>854</v>
      </c>
      <c r="C1006" s="2" t="s">
        <v>1873</v>
      </c>
      <c r="D1006" s="2">
        <v>3</v>
      </c>
      <c r="E1006" s="27" t="s">
        <v>123</v>
      </c>
      <c r="F1006" t="s">
        <v>15</v>
      </c>
      <c r="G1006" s="47"/>
      <c r="H1006" s="102"/>
      <c r="I1006" s="63" t="s">
        <v>1005</v>
      </c>
      <c r="J1006" t="s">
        <v>1845</v>
      </c>
      <c r="K1006" s="2" t="s">
        <v>1493</v>
      </c>
      <c r="L100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0017-25</v>
      </c>
    </row>
    <row r="1007" spans="1:12" x14ac:dyDescent="0.25">
      <c r="A1007" s="52">
        <v>45688</v>
      </c>
      <c r="B1007" s="27" t="s">
        <v>854</v>
      </c>
      <c r="C1007" s="2" t="s">
        <v>1874</v>
      </c>
      <c r="D1007" s="2">
        <v>3</v>
      </c>
      <c r="E1007" s="27" t="s">
        <v>123</v>
      </c>
      <c r="F1007" t="s">
        <v>15</v>
      </c>
      <c r="G1007" s="47"/>
      <c r="H1007" s="102"/>
      <c r="I1007" s="63" t="s">
        <v>1005</v>
      </c>
      <c r="J1007" t="s">
        <v>1845</v>
      </c>
      <c r="K1007" s="2" t="s">
        <v>1493</v>
      </c>
      <c r="L100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0018-25</v>
      </c>
    </row>
    <row r="1008" spans="1:12" x14ac:dyDescent="0.25">
      <c r="A1008" s="52">
        <v>45688</v>
      </c>
      <c r="B1008" s="27" t="s">
        <v>854</v>
      </c>
      <c r="C1008" s="2" t="s">
        <v>1875</v>
      </c>
      <c r="D1008" s="2">
        <v>3</v>
      </c>
      <c r="E1008" s="27" t="s">
        <v>123</v>
      </c>
      <c r="F1008" t="s">
        <v>15</v>
      </c>
      <c r="G1008" s="47"/>
      <c r="H1008" s="102"/>
      <c r="I1008" s="63" t="s">
        <v>1005</v>
      </c>
      <c r="J1008" t="s">
        <v>1845</v>
      </c>
      <c r="K1008" s="2" t="s">
        <v>1493</v>
      </c>
      <c r="L100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0019-25</v>
      </c>
    </row>
    <row r="1009" spans="1:12" x14ac:dyDescent="0.25">
      <c r="A1009" s="52">
        <v>45688</v>
      </c>
      <c r="B1009" s="27" t="s">
        <v>854</v>
      </c>
      <c r="C1009" s="2" t="s">
        <v>1876</v>
      </c>
      <c r="D1009" s="2">
        <v>3</v>
      </c>
      <c r="E1009" s="27" t="s">
        <v>123</v>
      </c>
      <c r="F1009" t="s">
        <v>15</v>
      </c>
      <c r="G1009" s="47"/>
      <c r="H1009" s="102"/>
      <c r="I1009" s="63" t="s">
        <v>1005</v>
      </c>
      <c r="J1009" t="s">
        <v>1845</v>
      </c>
      <c r="K1009" s="2" t="s">
        <v>1493</v>
      </c>
      <c r="L100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0024-25</v>
      </c>
    </row>
    <row r="1010" spans="1:12" hidden="1" x14ac:dyDescent="0.25">
      <c r="A1010" s="52">
        <v>45688</v>
      </c>
      <c r="B1010" s="27" t="s">
        <v>148</v>
      </c>
      <c r="C1010" s="2" t="s">
        <v>1877</v>
      </c>
      <c r="D1010" s="2">
        <v>2</v>
      </c>
      <c r="E1010" s="27" t="s">
        <v>123</v>
      </c>
      <c r="F1010" t="s">
        <v>15</v>
      </c>
      <c r="G1010" s="47"/>
      <c r="H1010" s="102"/>
      <c r="I1010" s="63"/>
      <c r="J1010" t="s">
        <v>1878</v>
      </c>
      <c r="K1010" s="2" t="s">
        <v>1493</v>
      </c>
      <c r="L101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0005-25</v>
      </c>
    </row>
    <row r="1011" spans="1:12" hidden="1" x14ac:dyDescent="0.25">
      <c r="A1011" s="52">
        <v>45688</v>
      </c>
      <c r="B1011" s="27" t="s">
        <v>148</v>
      </c>
      <c r="C1011" s="2" t="s">
        <v>1879</v>
      </c>
      <c r="D1011" s="2">
        <v>1</v>
      </c>
      <c r="E1011" s="27" t="s">
        <v>123</v>
      </c>
      <c r="F1011" t="s">
        <v>15</v>
      </c>
      <c r="G1011" s="47"/>
      <c r="H1011" s="102"/>
      <c r="I1011" s="63"/>
      <c r="J1011" t="s">
        <v>1878</v>
      </c>
      <c r="K1011" s="2" t="s">
        <v>1493</v>
      </c>
      <c r="L10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0006-25</v>
      </c>
    </row>
    <row r="1012" spans="1:12" hidden="1" x14ac:dyDescent="0.25">
      <c r="A1012" s="52">
        <v>45688</v>
      </c>
      <c r="B1012" s="27" t="s">
        <v>148</v>
      </c>
      <c r="C1012" s="2" t="s">
        <v>1880</v>
      </c>
      <c r="D1012" s="2">
        <v>1</v>
      </c>
      <c r="E1012" s="27" t="s">
        <v>123</v>
      </c>
      <c r="F1012" t="s">
        <v>15</v>
      </c>
      <c r="G1012" s="47"/>
      <c r="H1012" s="102"/>
      <c r="I1012" s="63"/>
      <c r="J1012" t="s">
        <v>1878</v>
      </c>
      <c r="K1012" s="2" t="s">
        <v>1493</v>
      </c>
      <c r="L101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0007-25</v>
      </c>
    </row>
    <row r="1013" spans="1:12" hidden="1" x14ac:dyDescent="0.25">
      <c r="A1013" s="52">
        <v>45688</v>
      </c>
      <c r="B1013" s="27" t="s">
        <v>148</v>
      </c>
      <c r="C1013" s="2" t="s">
        <v>1881</v>
      </c>
      <c r="D1013" s="2">
        <v>1</v>
      </c>
      <c r="E1013" s="27" t="s">
        <v>123</v>
      </c>
      <c r="F1013" t="s">
        <v>15</v>
      </c>
      <c r="G1013" s="47"/>
      <c r="H1013" s="102"/>
      <c r="I1013" s="63"/>
      <c r="J1013" t="s">
        <v>1878</v>
      </c>
      <c r="K1013" s="2" t="s">
        <v>1493</v>
      </c>
      <c r="L101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0008-25</v>
      </c>
    </row>
    <row r="1014" spans="1:12" hidden="1" x14ac:dyDescent="0.25">
      <c r="A1014" s="52">
        <v>45688</v>
      </c>
      <c r="B1014" s="27" t="s">
        <v>148</v>
      </c>
      <c r="C1014" s="2" t="s">
        <v>1882</v>
      </c>
      <c r="D1014" s="2">
        <v>1</v>
      </c>
      <c r="E1014" s="27" t="s">
        <v>123</v>
      </c>
      <c r="F1014" t="s">
        <v>15</v>
      </c>
      <c r="G1014" s="47"/>
      <c r="H1014" s="102"/>
      <c r="I1014" s="63"/>
      <c r="J1014" t="s">
        <v>1878</v>
      </c>
      <c r="K1014" s="2" t="s">
        <v>1493</v>
      </c>
      <c r="L101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0009-25</v>
      </c>
    </row>
    <row r="1015" spans="1:12" hidden="1" x14ac:dyDescent="0.25">
      <c r="A1015" s="52">
        <v>45688</v>
      </c>
      <c r="B1015" s="27" t="s">
        <v>148</v>
      </c>
      <c r="C1015" s="2" t="s">
        <v>1883</v>
      </c>
      <c r="D1015" s="2">
        <v>3</v>
      </c>
      <c r="E1015" s="27" t="s">
        <v>123</v>
      </c>
      <c r="F1015" t="s">
        <v>15</v>
      </c>
      <c r="G1015" s="47"/>
      <c r="H1015" s="102"/>
      <c r="I1015" s="63"/>
      <c r="J1015" t="s">
        <v>1878</v>
      </c>
      <c r="K1015" s="2" t="s">
        <v>1493</v>
      </c>
      <c r="L101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0020-25</v>
      </c>
    </row>
    <row r="1016" spans="1:12" hidden="1" x14ac:dyDescent="0.25">
      <c r="A1016" s="52">
        <v>45688</v>
      </c>
      <c r="B1016" s="27" t="s">
        <v>148</v>
      </c>
      <c r="C1016" s="2" t="s">
        <v>1884</v>
      </c>
      <c r="D1016" s="2">
        <v>1</v>
      </c>
      <c r="E1016" s="27" t="s">
        <v>123</v>
      </c>
      <c r="F1016" t="s">
        <v>15</v>
      </c>
      <c r="G1016" s="47"/>
      <c r="H1016" s="102"/>
      <c r="I1016" s="63"/>
      <c r="J1016" t="s">
        <v>1878</v>
      </c>
      <c r="K1016" s="2" t="s">
        <v>1493</v>
      </c>
      <c r="L101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0023-25</v>
      </c>
    </row>
    <row r="1017" spans="1:12" hidden="1" x14ac:dyDescent="0.25">
      <c r="A1017" s="52">
        <v>45716</v>
      </c>
      <c r="B1017" s="27" t="s">
        <v>148</v>
      </c>
      <c r="C1017" s="2" t="s">
        <v>1885</v>
      </c>
      <c r="D1017" s="2">
        <v>1</v>
      </c>
      <c r="E1017" s="27" t="s">
        <v>123</v>
      </c>
      <c r="F1017" t="s">
        <v>15</v>
      </c>
      <c r="G1017" s="47"/>
      <c r="H1017" s="102"/>
      <c r="I1017" s="63"/>
      <c r="J1017" t="s">
        <v>1878</v>
      </c>
      <c r="K1017" s="2" t="s">
        <v>1509</v>
      </c>
      <c r="L101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0021-25</v>
      </c>
    </row>
    <row r="1018" spans="1:12" hidden="1" x14ac:dyDescent="0.25">
      <c r="A1018" s="52">
        <v>45716</v>
      </c>
      <c r="B1018" s="27" t="s">
        <v>148</v>
      </c>
      <c r="C1018" s="2" t="s">
        <v>1886</v>
      </c>
      <c r="D1018" s="2">
        <v>1</v>
      </c>
      <c r="E1018" s="27" t="s">
        <v>123</v>
      </c>
      <c r="F1018" t="s">
        <v>15</v>
      </c>
      <c r="G1018" s="47"/>
      <c r="H1018" s="102"/>
      <c r="I1018" s="63"/>
      <c r="J1018" t="s">
        <v>1878</v>
      </c>
      <c r="K1018" s="2" t="s">
        <v>1509</v>
      </c>
      <c r="L101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0026-25</v>
      </c>
    </row>
    <row r="1019" spans="1:12" hidden="1" x14ac:dyDescent="0.25">
      <c r="A1019" s="52">
        <v>45716</v>
      </c>
      <c r="B1019" s="27" t="s">
        <v>148</v>
      </c>
      <c r="C1019" s="2" t="s">
        <v>1887</v>
      </c>
      <c r="D1019" s="2">
        <v>1</v>
      </c>
      <c r="E1019" s="27" t="s">
        <v>123</v>
      </c>
      <c r="F1019" t="s">
        <v>15</v>
      </c>
      <c r="G1019" s="47"/>
      <c r="H1019" s="102"/>
      <c r="I1019" s="63"/>
      <c r="J1019" t="s">
        <v>1878</v>
      </c>
      <c r="K1019" s="2" t="s">
        <v>1509</v>
      </c>
      <c r="L101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0035-25</v>
      </c>
    </row>
    <row r="1020" spans="1:12" hidden="1" x14ac:dyDescent="0.25">
      <c r="A1020" s="52">
        <v>45716</v>
      </c>
      <c r="B1020" s="27" t="s">
        <v>148</v>
      </c>
      <c r="C1020" s="2" t="s">
        <v>1888</v>
      </c>
      <c r="D1020" s="2">
        <v>1</v>
      </c>
      <c r="E1020" s="27" t="s">
        <v>123</v>
      </c>
      <c r="F1020" t="s">
        <v>15</v>
      </c>
      <c r="G1020" s="47"/>
      <c r="H1020" s="102"/>
      <c r="I1020" s="63"/>
      <c r="J1020" t="s">
        <v>1878</v>
      </c>
      <c r="K1020" s="2" t="s">
        <v>1509</v>
      </c>
      <c r="L102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0039-25</v>
      </c>
    </row>
    <row r="1021" spans="1:12" hidden="1" x14ac:dyDescent="0.25">
      <c r="A1021" s="52">
        <v>45716</v>
      </c>
      <c r="B1021" s="27" t="s">
        <v>148</v>
      </c>
      <c r="C1021" s="2" t="s">
        <v>1889</v>
      </c>
      <c r="D1021" s="2">
        <v>1</v>
      </c>
      <c r="E1021" s="27" t="s">
        <v>123</v>
      </c>
      <c r="F1021" t="s">
        <v>15</v>
      </c>
      <c r="G1021" s="47"/>
      <c r="H1021" s="102"/>
      <c r="I1021" s="63"/>
      <c r="J1021" t="s">
        <v>1878</v>
      </c>
      <c r="K1021" s="2" t="s">
        <v>1509</v>
      </c>
      <c r="L102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0051-25</v>
      </c>
    </row>
    <row r="1022" spans="1:12" x14ac:dyDescent="0.25">
      <c r="A1022" s="52">
        <v>45716</v>
      </c>
      <c r="B1022" s="27" t="s">
        <v>854</v>
      </c>
      <c r="C1022" s="2" t="s">
        <v>1890</v>
      </c>
      <c r="D1022" s="2">
        <v>1</v>
      </c>
      <c r="E1022" s="27" t="s">
        <v>139</v>
      </c>
      <c r="F1022" t="s">
        <v>468</v>
      </c>
      <c r="G1022" s="47"/>
      <c r="H1022" s="102"/>
      <c r="I1022" s="63" t="s">
        <v>1005</v>
      </c>
      <c r="J1022" t="s">
        <v>1834</v>
      </c>
      <c r="K1022" s="2" t="s">
        <v>1509</v>
      </c>
      <c r="L102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0041-25</v>
      </c>
    </row>
    <row r="1023" spans="1:12" x14ac:dyDescent="0.25">
      <c r="A1023" s="52">
        <v>45716</v>
      </c>
      <c r="B1023" s="27" t="s">
        <v>854</v>
      </c>
      <c r="C1023" s="2" t="s">
        <v>1891</v>
      </c>
      <c r="D1023" s="2">
        <v>1</v>
      </c>
      <c r="E1023" s="27" t="s">
        <v>163</v>
      </c>
      <c r="F1023" t="s">
        <v>2</v>
      </c>
      <c r="G1023" s="47"/>
      <c r="H1023" s="102"/>
      <c r="I1023" s="63" t="s">
        <v>1005</v>
      </c>
      <c r="J1023" t="s">
        <v>1841</v>
      </c>
      <c r="K1023" s="2" t="s">
        <v>1509</v>
      </c>
      <c r="L102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0042-25</v>
      </c>
    </row>
    <row r="1024" spans="1:12" x14ac:dyDescent="0.25">
      <c r="A1024" s="52">
        <v>45716</v>
      </c>
      <c r="B1024" s="27" t="s">
        <v>854</v>
      </c>
      <c r="C1024" s="2" t="s">
        <v>1892</v>
      </c>
      <c r="D1024" s="2">
        <v>1</v>
      </c>
      <c r="E1024" s="27" t="s">
        <v>159</v>
      </c>
      <c r="F1024" t="s">
        <v>39</v>
      </c>
      <c r="G1024" s="47"/>
      <c r="H1024" s="102"/>
      <c r="I1024" s="63" t="s">
        <v>1005</v>
      </c>
      <c r="J1024" t="s">
        <v>1843</v>
      </c>
      <c r="K1024" s="2" t="s">
        <v>1509</v>
      </c>
      <c r="L102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0043-25</v>
      </c>
    </row>
    <row r="1025" spans="1:12" x14ac:dyDescent="0.25">
      <c r="A1025" s="52">
        <v>45716</v>
      </c>
      <c r="B1025" s="27" t="s">
        <v>854</v>
      </c>
      <c r="C1025" s="2" t="s">
        <v>1893</v>
      </c>
      <c r="D1025" s="2">
        <v>1</v>
      </c>
      <c r="E1025" s="27" t="s">
        <v>160</v>
      </c>
      <c r="F1025" t="s">
        <v>40</v>
      </c>
      <c r="G1025" s="47"/>
      <c r="H1025" s="102"/>
      <c r="I1025" s="63" t="s">
        <v>1005</v>
      </c>
      <c r="J1025" t="s">
        <v>1894</v>
      </c>
      <c r="K1025" s="2" t="s">
        <v>1509</v>
      </c>
      <c r="L102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0044-25</v>
      </c>
    </row>
    <row r="1026" spans="1:12" x14ac:dyDescent="0.25">
      <c r="A1026" s="52">
        <v>45716</v>
      </c>
      <c r="B1026" s="27" t="s">
        <v>854</v>
      </c>
      <c r="C1026" s="2" t="s">
        <v>1895</v>
      </c>
      <c r="D1026" s="2">
        <v>1</v>
      </c>
      <c r="E1026" s="27" t="s">
        <v>143</v>
      </c>
      <c r="F1026" t="s">
        <v>467</v>
      </c>
      <c r="G1026" s="47"/>
      <c r="H1026" s="102"/>
      <c r="I1026" s="63" t="s">
        <v>1005</v>
      </c>
      <c r="J1026" t="s">
        <v>1862</v>
      </c>
      <c r="K1026" s="2" t="s">
        <v>1509</v>
      </c>
      <c r="L102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0045-25</v>
      </c>
    </row>
    <row r="1027" spans="1:12" x14ac:dyDescent="0.25">
      <c r="A1027" s="52">
        <v>45716</v>
      </c>
      <c r="B1027" s="27" t="s">
        <v>854</v>
      </c>
      <c r="C1027" s="2" t="s">
        <v>1896</v>
      </c>
      <c r="D1027" s="2">
        <v>1</v>
      </c>
      <c r="E1027" s="27" t="s">
        <v>166</v>
      </c>
      <c r="F1027" t="s">
        <v>44</v>
      </c>
      <c r="G1027" s="47"/>
      <c r="H1027" s="102"/>
      <c r="I1027" s="63" t="s">
        <v>1005</v>
      </c>
      <c r="J1027" t="s">
        <v>1836</v>
      </c>
      <c r="K1027" s="2" t="s">
        <v>1509</v>
      </c>
      <c r="L102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0046-25</v>
      </c>
    </row>
    <row r="1028" spans="1:12" x14ac:dyDescent="0.25">
      <c r="A1028" s="52">
        <v>45716</v>
      </c>
      <c r="B1028" s="27" t="s">
        <v>854</v>
      </c>
      <c r="C1028" s="2" t="s">
        <v>1897</v>
      </c>
      <c r="D1028" s="2">
        <v>1</v>
      </c>
      <c r="E1028" s="27" t="s">
        <v>158</v>
      </c>
      <c r="F1028" t="s">
        <v>38</v>
      </c>
      <c r="G1028" s="47"/>
      <c r="H1028" s="102"/>
      <c r="I1028" s="63" t="s">
        <v>1005</v>
      </c>
      <c r="J1028" t="s">
        <v>1838</v>
      </c>
      <c r="K1028" s="2" t="s">
        <v>1509</v>
      </c>
      <c r="L102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0047-25</v>
      </c>
    </row>
    <row r="1029" spans="1:12" hidden="1" x14ac:dyDescent="0.25">
      <c r="A1029" s="52">
        <v>45747</v>
      </c>
      <c r="B1029" s="27" t="s">
        <v>125</v>
      </c>
      <c r="C1029" s="2" t="s">
        <v>1898</v>
      </c>
      <c r="D1029" s="2">
        <v>2</v>
      </c>
      <c r="E1029" s="27" t="s">
        <v>123</v>
      </c>
      <c r="F1029" t="s">
        <v>15</v>
      </c>
      <c r="G1029" s="47"/>
      <c r="H1029" s="102"/>
      <c r="I1029" s="63"/>
      <c r="J1029" t="s">
        <v>1899</v>
      </c>
      <c r="K1029" s="2" t="s">
        <v>1525</v>
      </c>
      <c r="L102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0073-25</v>
      </c>
    </row>
    <row r="1030" spans="1:12" hidden="1" x14ac:dyDescent="0.25">
      <c r="A1030" s="52">
        <v>45747</v>
      </c>
      <c r="B1030" s="27" t="s">
        <v>125</v>
      </c>
      <c r="C1030" s="2" t="s">
        <v>1900</v>
      </c>
      <c r="D1030" s="2">
        <v>1</v>
      </c>
      <c r="E1030" s="27" t="s">
        <v>175</v>
      </c>
      <c r="F1030" t="s">
        <v>390</v>
      </c>
      <c r="G1030" s="47"/>
      <c r="H1030" s="102"/>
      <c r="I1030" s="63"/>
      <c r="J1030" t="s">
        <v>1901</v>
      </c>
      <c r="K1030" s="2" t="s">
        <v>1525</v>
      </c>
      <c r="L103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(Transporte 19 Marzo de 2025)</v>
      </c>
    </row>
    <row r="1031" spans="1:12" hidden="1" x14ac:dyDescent="0.25">
      <c r="A1031" s="52">
        <v>45747</v>
      </c>
      <c r="B1031" s="27" t="s">
        <v>148</v>
      </c>
      <c r="C1031" s="2" t="s">
        <v>1912</v>
      </c>
      <c r="D1031" s="2">
        <v>2</v>
      </c>
      <c r="E1031" s="27" t="s">
        <v>123</v>
      </c>
      <c r="F1031" t="s">
        <v>15</v>
      </c>
      <c r="G1031" s="47"/>
      <c r="H1031" s="102"/>
      <c r="I1031" s="63"/>
      <c r="J1031" t="s">
        <v>1878</v>
      </c>
      <c r="K1031" s="2" t="s">
        <v>1525</v>
      </c>
      <c r="L103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0054-25</v>
      </c>
    </row>
    <row r="1032" spans="1:12" hidden="1" x14ac:dyDescent="0.25">
      <c r="A1032" s="52">
        <v>45747</v>
      </c>
      <c r="B1032" s="27" t="s">
        <v>148</v>
      </c>
      <c r="C1032" s="2" t="s">
        <v>1913</v>
      </c>
      <c r="D1032" s="2">
        <v>1</v>
      </c>
      <c r="E1032" s="27" t="s">
        <v>123</v>
      </c>
      <c r="F1032" t="s">
        <v>15</v>
      </c>
      <c r="G1032" s="47"/>
      <c r="H1032" s="102"/>
      <c r="I1032" s="63"/>
      <c r="J1032" t="s">
        <v>1878</v>
      </c>
      <c r="K1032" s="2" t="s">
        <v>1525</v>
      </c>
      <c r="L103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0055-25</v>
      </c>
    </row>
    <row r="1033" spans="1:12" hidden="1" x14ac:dyDescent="0.25">
      <c r="A1033" s="52">
        <v>45747</v>
      </c>
      <c r="B1033" s="27" t="s">
        <v>148</v>
      </c>
      <c r="C1033" s="2" t="s">
        <v>1914</v>
      </c>
      <c r="D1033" s="2">
        <v>1</v>
      </c>
      <c r="E1033" s="27" t="s">
        <v>123</v>
      </c>
      <c r="F1033" t="s">
        <v>15</v>
      </c>
      <c r="G1033" s="47"/>
      <c r="H1033" s="102"/>
      <c r="I1033" s="63"/>
      <c r="J1033" t="s">
        <v>1878</v>
      </c>
      <c r="K1033" s="2" t="s">
        <v>1525</v>
      </c>
      <c r="L103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0057-25</v>
      </c>
    </row>
    <row r="1034" spans="1:12" hidden="1" x14ac:dyDescent="0.25">
      <c r="A1034" s="52">
        <v>45747</v>
      </c>
      <c r="B1034" s="27" t="s">
        <v>148</v>
      </c>
      <c r="C1034" s="2" t="s">
        <v>1915</v>
      </c>
      <c r="D1034" s="2">
        <v>1</v>
      </c>
      <c r="E1034" s="27" t="s">
        <v>123</v>
      </c>
      <c r="F1034" t="s">
        <v>15</v>
      </c>
      <c r="G1034" s="47"/>
      <c r="H1034" s="102"/>
      <c r="I1034" s="63"/>
      <c r="J1034" t="s">
        <v>1878</v>
      </c>
      <c r="K1034" s="2" t="s">
        <v>1525</v>
      </c>
      <c r="L103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0058-25</v>
      </c>
    </row>
    <row r="1035" spans="1:12" hidden="1" x14ac:dyDescent="0.25">
      <c r="A1035" s="52">
        <v>45747</v>
      </c>
      <c r="B1035" s="27" t="s">
        <v>148</v>
      </c>
      <c r="C1035" s="2" t="s">
        <v>1916</v>
      </c>
      <c r="D1035" s="2">
        <v>1</v>
      </c>
      <c r="E1035" s="27" t="s">
        <v>123</v>
      </c>
      <c r="F1035" t="s">
        <v>15</v>
      </c>
      <c r="G1035" s="47"/>
      <c r="H1035" s="102"/>
      <c r="I1035" s="63"/>
      <c r="J1035" t="s">
        <v>1878</v>
      </c>
      <c r="K1035" s="2" t="s">
        <v>1525</v>
      </c>
      <c r="L103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0065-25</v>
      </c>
    </row>
    <row r="1036" spans="1:12" hidden="1" x14ac:dyDescent="0.25">
      <c r="A1036" s="52">
        <v>45777</v>
      </c>
      <c r="B1036" s="27" t="s">
        <v>148</v>
      </c>
      <c r="C1036" s="2" t="s">
        <v>1917</v>
      </c>
      <c r="D1036" s="2">
        <v>3</v>
      </c>
      <c r="E1036" s="27" t="s">
        <v>123</v>
      </c>
      <c r="F1036" t="s">
        <v>15</v>
      </c>
      <c r="G1036" s="47"/>
      <c r="H1036" s="102"/>
      <c r="I1036" s="63"/>
      <c r="J1036" t="s">
        <v>1878</v>
      </c>
      <c r="K1036" s="2" t="s">
        <v>1531</v>
      </c>
      <c r="L103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0106-25</v>
      </c>
    </row>
    <row r="1037" spans="1:12" hidden="1" x14ac:dyDescent="0.25">
      <c r="A1037" s="52">
        <v>45777</v>
      </c>
      <c r="B1037" s="27" t="s">
        <v>148</v>
      </c>
      <c r="C1037" s="2" t="s">
        <v>1918</v>
      </c>
      <c r="D1037" s="2">
        <v>1</v>
      </c>
      <c r="E1037" s="27" t="s">
        <v>123</v>
      </c>
      <c r="F1037" t="s">
        <v>15</v>
      </c>
      <c r="G1037" s="47"/>
      <c r="H1037" s="102"/>
      <c r="I1037" s="63"/>
      <c r="J1037" t="s">
        <v>1878</v>
      </c>
      <c r="K1037" s="2" t="s">
        <v>1531</v>
      </c>
      <c r="L103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0113-25</v>
      </c>
    </row>
    <row r="1038" spans="1:12" hidden="1" x14ac:dyDescent="0.25">
      <c r="A1038" s="52">
        <v>45777</v>
      </c>
      <c r="B1038" s="27" t="s">
        <v>148</v>
      </c>
      <c r="C1038" s="2" t="s">
        <v>1919</v>
      </c>
      <c r="D1038" s="2">
        <v>1</v>
      </c>
      <c r="E1038" s="27" t="s">
        <v>123</v>
      </c>
      <c r="F1038" t="s">
        <v>15</v>
      </c>
      <c r="G1038" s="47"/>
      <c r="H1038" s="102"/>
      <c r="I1038" s="63"/>
      <c r="J1038" t="s">
        <v>1878</v>
      </c>
      <c r="K1038" s="2" t="s">
        <v>1531</v>
      </c>
      <c r="L103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0123-25</v>
      </c>
    </row>
    <row r="1039" spans="1:12" x14ac:dyDescent="0.25">
      <c r="A1039" s="52">
        <v>45777</v>
      </c>
      <c r="B1039" s="27" t="s">
        <v>854</v>
      </c>
      <c r="C1039" s="2" t="s">
        <v>1920</v>
      </c>
      <c r="D1039" s="2">
        <v>1</v>
      </c>
      <c r="E1039" s="27" t="s">
        <v>143</v>
      </c>
      <c r="F1039" t="s">
        <v>467</v>
      </c>
      <c r="G1039" s="47"/>
      <c r="H1039" s="102"/>
      <c r="I1039" s="63" t="s">
        <v>1005</v>
      </c>
      <c r="J1039" t="s">
        <v>1862</v>
      </c>
      <c r="K1039" s="2" t="s">
        <v>1531</v>
      </c>
      <c r="L103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0089-25</v>
      </c>
    </row>
    <row r="1040" spans="1:12" x14ac:dyDescent="0.25">
      <c r="A1040" s="52">
        <v>45777</v>
      </c>
      <c r="B1040" s="27" t="s">
        <v>854</v>
      </c>
      <c r="C1040" s="2" t="s">
        <v>1921</v>
      </c>
      <c r="D1040" s="2">
        <v>1</v>
      </c>
      <c r="E1040" s="27" t="s">
        <v>166</v>
      </c>
      <c r="F1040" t="s">
        <v>44</v>
      </c>
      <c r="G1040" s="47"/>
      <c r="H1040" s="102"/>
      <c r="I1040" s="63" t="s">
        <v>1005</v>
      </c>
      <c r="J1040" t="s">
        <v>1836</v>
      </c>
      <c r="K1040" s="2" t="s">
        <v>1531</v>
      </c>
      <c r="L104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0090-25</v>
      </c>
    </row>
    <row r="1041" spans="1:12" x14ac:dyDescent="0.25">
      <c r="A1041" s="52">
        <v>45777</v>
      </c>
      <c r="B1041" s="27" t="s">
        <v>854</v>
      </c>
      <c r="C1041" s="2" t="s">
        <v>1922</v>
      </c>
      <c r="D1041" s="2">
        <v>1</v>
      </c>
      <c r="E1041" s="27" t="s">
        <v>158</v>
      </c>
      <c r="F1041" t="s">
        <v>38</v>
      </c>
      <c r="G1041" s="47"/>
      <c r="H1041" s="102"/>
      <c r="I1041" s="63" t="s">
        <v>1005</v>
      </c>
      <c r="J1041" t="s">
        <v>1838</v>
      </c>
      <c r="K1041" s="2" t="s">
        <v>1531</v>
      </c>
      <c r="L104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0091-25</v>
      </c>
    </row>
    <row r="1042" spans="1:12" x14ac:dyDescent="0.25">
      <c r="A1042" s="52">
        <v>45777</v>
      </c>
      <c r="B1042" s="27" t="s">
        <v>854</v>
      </c>
      <c r="C1042" s="2" t="s">
        <v>1923</v>
      </c>
      <c r="D1042" s="2">
        <v>1</v>
      </c>
      <c r="E1042" s="27" t="s">
        <v>139</v>
      </c>
      <c r="F1042" t="s">
        <v>468</v>
      </c>
      <c r="G1042" s="47"/>
      <c r="H1042" s="102"/>
      <c r="I1042" s="63" t="s">
        <v>1005</v>
      </c>
      <c r="J1042" t="s">
        <v>1834</v>
      </c>
      <c r="K1042" s="2" t="s">
        <v>1531</v>
      </c>
      <c r="L104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0092-25</v>
      </c>
    </row>
    <row r="1043" spans="1:12" x14ac:dyDescent="0.25">
      <c r="A1043" s="52">
        <v>45777</v>
      </c>
      <c r="B1043" s="27" t="s">
        <v>854</v>
      </c>
      <c r="C1043" s="2" t="s">
        <v>1924</v>
      </c>
      <c r="D1043" s="2">
        <v>1</v>
      </c>
      <c r="E1043" s="27" t="s">
        <v>163</v>
      </c>
      <c r="F1043" t="s">
        <v>2</v>
      </c>
      <c r="G1043" s="47"/>
      <c r="H1043" s="102"/>
      <c r="I1043" s="63" t="s">
        <v>1005</v>
      </c>
      <c r="J1043" t="s">
        <v>1841</v>
      </c>
      <c r="K1043" s="2" t="s">
        <v>1531</v>
      </c>
      <c r="L104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0093-25</v>
      </c>
    </row>
    <row r="1044" spans="1:12" x14ac:dyDescent="0.25">
      <c r="A1044" s="52">
        <v>45777</v>
      </c>
      <c r="B1044" s="27" t="s">
        <v>854</v>
      </c>
      <c r="C1044" s="2" t="s">
        <v>1925</v>
      </c>
      <c r="D1044" s="2">
        <v>1</v>
      </c>
      <c r="E1044" s="27" t="s">
        <v>159</v>
      </c>
      <c r="F1044" t="s">
        <v>39</v>
      </c>
      <c r="G1044" s="47"/>
      <c r="H1044" s="102"/>
      <c r="I1044" s="63" t="s">
        <v>1005</v>
      </c>
      <c r="J1044" t="s">
        <v>1843</v>
      </c>
      <c r="K1044" s="2" t="s">
        <v>1531</v>
      </c>
      <c r="L104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0094-25</v>
      </c>
    </row>
    <row r="1045" spans="1:12" x14ac:dyDescent="0.25">
      <c r="A1045" s="52">
        <v>45777</v>
      </c>
      <c r="B1045" s="27" t="s">
        <v>854</v>
      </c>
      <c r="C1045" s="2" t="s">
        <v>1926</v>
      </c>
      <c r="D1045" s="2">
        <v>1</v>
      </c>
      <c r="E1045" s="27" t="s">
        <v>160</v>
      </c>
      <c r="F1045" t="s">
        <v>40</v>
      </c>
      <c r="G1045" s="47"/>
      <c r="H1045" s="102"/>
      <c r="I1045" s="63" t="s">
        <v>1005</v>
      </c>
      <c r="J1045" t="s">
        <v>1894</v>
      </c>
      <c r="K1045" s="2" t="s">
        <v>1531</v>
      </c>
      <c r="L104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0095-25</v>
      </c>
    </row>
    <row r="1046" spans="1:12" hidden="1" x14ac:dyDescent="0.25">
      <c r="A1046" s="52">
        <v>45777</v>
      </c>
      <c r="B1046" s="27" t="s">
        <v>304</v>
      </c>
      <c r="C1046" s="2" t="s">
        <v>1927</v>
      </c>
      <c r="D1046" s="2">
        <v>1</v>
      </c>
      <c r="E1046" s="27" t="s">
        <v>143</v>
      </c>
      <c r="F1046" t="s">
        <v>467</v>
      </c>
      <c r="G1046" s="47"/>
      <c r="H1046" s="102"/>
      <c r="I1046" s="63"/>
      <c r="J1046" t="s">
        <v>1928</v>
      </c>
      <c r="K1046" s="2" t="s">
        <v>1531</v>
      </c>
      <c r="L104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0129-25</v>
      </c>
    </row>
    <row r="1047" spans="1:12" hidden="1" x14ac:dyDescent="0.25">
      <c r="A1047" s="52">
        <v>45777</v>
      </c>
      <c r="B1047" s="27" t="s">
        <v>304</v>
      </c>
      <c r="C1047" s="2" t="s">
        <v>1929</v>
      </c>
      <c r="D1047" s="2">
        <v>1</v>
      </c>
      <c r="E1047" s="27" t="s">
        <v>166</v>
      </c>
      <c r="F1047" t="s">
        <v>44</v>
      </c>
      <c r="G1047" s="47"/>
      <c r="H1047" s="102"/>
      <c r="I1047" s="63"/>
      <c r="J1047" t="s">
        <v>1930</v>
      </c>
      <c r="K1047" s="2" t="s">
        <v>1531</v>
      </c>
      <c r="L104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0130-25</v>
      </c>
    </row>
    <row r="1048" spans="1:12" hidden="1" x14ac:dyDescent="0.25">
      <c r="A1048" s="52">
        <v>45777</v>
      </c>
      <c r="B1048" s="27" t="s">
        <v>304</v>
      </c>
      <c r="C1048" s="2" t="s">
        <v>1931</v>
      </c>
      <c r="D1048" s="2">
        <v>1</v>
      </c>
      <c r="E1048" s="27" t="s">
        <v>160</v>
      </c>
      <c r="F1048" t="s">
        <v>40</v>
      </c>
      <c r="G1048" s="47"/>
      <c r="H1048" s="102"/>
      <c r="I1048" s="63"/>
      <c r="J1048" t="s">
        <v>1932</v>
      </c>
      <c r="K1048" s="2" t="s">
        <v>1531</v>
      </c>
      <c r="L104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0131-25</v>
      </c>
    </row>
    <row r="1049" spans="1:12" hidden="1" x14ac:dyDescent="0.25">
      <c r="A1049" s="52">
        <v>45777</v>
      </c>
      <c r="B1049" s="27" t="s">
        <v>304</v>
      </c>
      <c r="C1049" s="2" t="s">
        <v>1933</v>
      </c>
      <c r="D1049" s="2">
        <v>1</v>
      </c>
      <c r="E1049" s="27" t="s">
        <v>158</v>
      </c>
      <c r="F1049" t="s">
        <v>38</v>
      </c>
      <c r="G1049" s="47"/>
      <c r="H1049" s="102"/>
      <c r="I1049" s="63"/>
      <c r="J1049" t="s">
        <v>1934</v>
      </c>
      <c r="K1049" s="2" t="s">
        <v>1531</v>
      </c>
      <c r="L104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0132-25</v>
      </c>
    </row>
    <row r="1050" spans="1:12" hidden="1" x14ac:dyDescent="0.25">
      <c r="A1050" s="52">
        <v>45777</v>
      </c>
      <c r="B1050" s="27" t="s">
        <v>304</v>
      </c>
      <c r="C1050" s="2" t="s">
        <v>1935</v>
      </c>
      <c r="D1050" s="2">
        <v>1</v>
      </c>
      <c r="E1050" s="27" t="s">
        <v>157</v>
      </c>
      <c r="F1050" t="s">
        <v>37</v>
      </c>
      <c r="G1050" s="47"/>
      <c r="H1050" s="102"/>
      <c r="I1050" s="63"/>
      <c r="J1050" t="s">
        <v>1936</v>
      </c>
      <c r="K1050" s="2" t="s">
        <v>1531</v>
      </c>
      <c r="L105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0133-25</v>
      </c>
    </row>
    <row r="1051" spans="1:12" hidden="1" x14ac:dyDescent="0.25">
      <c r="A1051" s="52">
        <v>45777</v>
      </c>
      <c r="B1051" s="27" t="s">
        <v>522</v>
      </c>
      <c r="C1051" s="2" t="s">
        <v>1937</v>
      </c>
      <c r="D1051" s="2">
        <v>2</v>
      </c>
      <c r="E1051" s="27" t="s">
        <v>123</v>
      </c>
      <c r="F1051" t="s">
        <v>15</v>
      </c>
      <c r="G1051" s="47"/>
      <c r="H1051" s="102"/>
      <c r="I1051" s="63"/>
      <c r="J1051" t="s">
        <v>1825</v>
      </c>
      <c r="K1051" s="2" t="s">
        <v>1531</v>
      </c>
      <c r="L105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0125-25</v>
      </c>
    </row>
    <row r="1052" spans="1:12" hidden="1" x14ac:dyDescent="0.25">
      <c r="A1052" s="52">
        <v>45777</v>
      </c>
      <c r="B1052" s="27" t="s">
        <v>522</v>
      </c>
      <c r="C1052" s="2" t="s">
        <v>1938</v>
      </c>
      <c r="D1052" s="2">
        <v>1</v>
      </c>
      <c r="E1052" s="27" t="s">
        <v>175</v>
      </c>
      <c r="F1052" t="s">
        <v>390</v>
      </c>
      <c r="G1052" s="47"/>
      <c r="H1052" s="102"/>
      <c r="I1052" s="63"/>
      <c r="J1052" t="s">
        <v>1832</v>
      </c>
      <c r="K1052" s="2" t="s">
        <v>1531</v>
      </c>
      <c r="L105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(Transporte de Abril de 2025)</v>
      </c>
    </row>
    <row r="1053" spans="1:12" hidden="1" x14ac:dyDescent="0.25">
      <c r="A1053" s="52">
        <v>45808</v>
      </c>
      <c r="B1053" s="27" t="s">
        <v>148</v>
      </c>
      <c r="C1053" s="2" t="s">
        <v>1939</v>
      </c>
      <c r="D1053" s="2">
        <v>1</v>
      </c>
      <c r="E1053" s="27" t="s">
        <v>143</v>
      </c>
      <c r="F1053" t="s">
        <v>467</v>
      </c>
      <c r="G1053" s="47"/>
      <c r="H1053" s="102"/>
      <c r="I1053" s="63"/>
      <c r="J1053" t="s">
        <v>1940</v>
      </c>
      <c r="K1053" s="2" t="s">
        <v>1144</v>
      </c>
      <c r="L105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0151-25</v>
      </c>
    </row>
    <row r="1054" spans="1:12" hidden="1" x14ac:dyDescent="0.25">
      <c r="A1054" s="52">
        <v>45808</v>
      </c>
      <c r="B1054" s="27" t="s">
        <v>148</v>
      </c>
      <c r="C1054" s="2" t="s">
        <v>1941</v>
      </c>
      <c r="D1054" s="2">
        <v>1</v>
      </c>
      <c r="E1054" s="27" t="s">
        <v>158</v>
      </c>
      <c r="F1054" t="s">
        <v>38</v>
      </c>
      <c r="G1054" s="47"/>
      <c r="H1054" s="102"/>
      <c r="I1054" s="63"/>
      <c r="J1054" t="s">
        <v>1823</v>
      </c>
      <c r="K1054" s="2" t="s">
        <v>1144</v>
      </c>
      <c r="L105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0152-25</v>
      </c>
    </row>
    <row r="1055" spans="1:12" hidden="1" x14ac:dyDescent="0.25">
      <c r="A1055" s="52">
        <v>45808</v>
      </c>
      <c r="B1055" s="27" t="s">
        <v>148</v>
      </c>
      <c r="C1055" s="2" t="s">
        <v>1942</v>
      </c>
      <c r="D1055" s="2">
        <v>1</v>
      </c>
      <c r="E1055" s="27" t="s">
        <v>160</v>
      </c>
      <c r="F1055" t="s">
        <v>40</v>
      </c>
      <c r="G1055" s="47"/>
      <c r="H1055" s="102"/>
      <c r="I1055" s="63"/>
      <c r="J1055" t="s">
        <v>1943</v>
      </c>
      <c r="K1055" s="2" t="s">
        <v>1144</v>
      </c>
      <c r="L105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0153-25</v>
      </c>
    </row>
    <row r="1056" spans="1:12" hidden="1" x14ac:dyDescent="0.25">
      <c r="A1056" s="52">
        <v>45808</v>
      </c>
      <c r="B1056" s="27" t="s">
        <v>148</v>
      </c>
      <c r="C1056" s="2" t="s">
        <v>1944</v>
      </c>
      <c r="D1056" s="2">
        <v>1</v>
      </c>
      <c r="E1056" s="27" t="s">
        <v>162</v>
      </c>
      <c r="F1056" t="s">
        <v>41</v>
      </c>
      <c r="G1056" s="47"/>
      <c r="H1056" s="102"/>
      <c r="I1056" s="63"/>
      <c r="J1056" t="s">
        <v>1945</v>
      </c>
      <c r="K1056" s="2" t="s">
        <v>1144</v>
      </c>
      <c r="L105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0154-25</v>
      </c>
    </row>
    <row r="1057" spans="1:12" hidden="1" x14ac:dyDescent="0.25">
      <c r="A1057" s="52">
        <v>45808</v>
      </c>
      <c r="B1057" s="27" t="s">
        <v>148</v>
      </c>
      <c r="C1057" s="2" t="s">
        <v>1946</v>
      </c>
      <c r="D1057" s="2">
        <v>1</v>
      </c>
      <c r="E1057" s="27" t="s">
        <v>123</v>
      </c>
      <c r="F1057" t="s">
        <v>15</v>
      </c>
      <c r="G1057" s="47"/>
      <c r="H1057" s="102"/>
      <c r="I1057" s="63"/>
      <c r="J1057" t="s">
        <v>1878</v>
      </c>
      <c r="K1057" s="2" t="s">
        <v>1144</v>
      </c>
      <c r="L105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0135-25</v>
      </c>
    </row>
    <row r="1058" spans="1:12" hidden="1" x14ac:dyDescent="0.25">
      <c r="A1058" s="52">
        <v>45808</v>
      </c>
      <c r="B1058" s="27" t="s">
        <v>148</v>
      </c>
      <c r="C1058" s="2" t="s">
        <v>1947</v>
      </c>
      <c r="D1058" s="2">
        <v>1</v>
      </c>
      <c r="E1058" s="27" t="s">
        <v>123</v>
      </c>
      <c r="F1058" t="s">
        <v>15</v>
      </c>
      <c r="G1058" s="47"/>
      <c r="H1058" s="102"/>
      <c r="I1058" s="63"/>
      <c r="J1058" t="s">
        <v>1878</v>
      </c>
      <c r="K1058" s="2" t="s">
        <v>1144</v>
      </c>
      <c r="L105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0138-25</v>
      </c>
    </row>
    <row r="1059" spans="1:12" hidden="1" x14ac:dyDescent="0.25">
      <c r="A1059" s="52">
        <v>45808</v>
      </c>
      <c r="B1059" s="27" t="s">
        <v>148</v>
      </c>
      <c r="C1059" s="2" t="s">
        <v>1948</v>
      </c>
      <c r="D1059" s="2">
        <v>2</v>
      </c>
      <c r="E1059" s="27" t="s">
        <v>123</v>
      </c>
      <c r="F1059" t="s">
        <v>15</v>
      </c>
      <c r="G1059" s="47"/>
      <c r="H1059" s="102"/>
      <c r="I1059" s="63"/>
      <c r="J1059" t="s">
        <v>1878</v>
      </c>
      <c r="K1059" s="2" t="s">
        <v>1144</v>
      </c>
      <c r="L105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0140-25</v>
      </c>
    </row>
    <row r="1060" spans="1:12" hidden="1" x14ac:dyDescent="0.25">
      <c r="A1060" s="52">
        <v>45808</v>
      </c>
      <c r="B1060" s="27" t="s">
        <v>148</v>
      </c>
      <c r="C1060" s="2" t="s">
        <v>1949</v>
      </c>
      <c r="D1060" s="2">
        <v>1</v>
      </c>
      <c r="E1060" s="27" t="s">
        <v>123</v>
      </c>
      <c r="F1060" t="s">
        <v>15</v>
      </c>
      <c r="G1060" s="47"/>
      <c r="H1060" s="102"/>
      <c r="I1060" s="63"/>
      <c r="J1060" t="s">
        <v>1878</v>
      </c>
      <c r="K1060" s="2" t="s">
        <v>1144</v>
      </c>
      <c r="L106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0144-25</v>
      </c>
    </row>
    <row r="1061" spans="1:12" hidden="1" x14ac:dyDescent="0.25">
      <c r="A1061" s="52">
        <v>45808</v>
      </c>
      <c r="B1061" s="27" t="s">
        <v>148</v>
      </c>
      <c r="C1061" s="2" t="s">
        <v>1950</v>
      </c>
      <c r="D1061" s="2">
        <v>1</v>
      </c>
      <c r="E1061" s="27" t="s">
        <v>123</v>
      </c>
      <c r="F1061" t="s">
        <v>15</v>
      </c>
      <c r="G1061" s="47"/>
      <c r="H1061" s="102"/>
      <c r="I1061" s="63"/>
      <c r="J1061" t="s">
        <v>1878</v>
      </c>
      <c r="K1061" s="2" t="s">
        <v>1144</v>
      </c>
      <c r="L106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0146-25</v>
      </c>
    </row>
    <row r="1062" spans="1:12" hidden="1" x14ac:dyDescent="0.25">
      <c r="A1062" s="52">
        <v>45808</v>
      </c>
      <c r="B1062" s="27" t="s">
        <v>148</v>
      </c>
      <c r="C1062" s="2" t="s">
        <v>1951</v>
      </c>
      <c r="D1062" s="2">
        <v>1</v>
      </c>
      <c r="E1062" s="27" t="s">
        <v>123</v>
      </c>
      <c r="F1062" t="s">
        <v>15</v>
      </c>
      <c r="G1062" s="47"/>
      <c r="H1062" s="102"/>
      <c r="I1062" s="63"/>
      <c r="J1062" t="s">
        <v>1878</v>
      </c>
      <c r="K1062" s="2" t="s">
        <v>1144</v>
      </c>
      <c r="L106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0149-25</v>
      </c>
    </row>
    <row r="1063" spans="1:12" hidden="1" x14ac:dyDescent="0.25">
      <c r="A1063" s="52">
        <v>45808</v>
      </c>
      <c r="B1063" s="27" t="s">
        <v>148</v>
      </c>
      <c r="C1063" s="2" t="s">
        <v>1952</v>
      </c>
      <c r="D1063" s="2">
        <v>2</v>
      </c>
      <c r="E1063" s="27" t="s">
        <v>123</v>
      </c>
      <c r="F1063" t="s">
        <v>15</v>
      </c>
      <c r="G1063" s="47"/>
      <c r="H1063" s="102"/>
      <c r="I1063" s="63"/>
      <c r="J1063" t="s">
        <v>1878</v>
      </c>
      <c r="K1063" s="2" t="s">
        <v>1144</v>
      </c>
      <c r="L106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0187-25</v>
      </c>
    </row>
    <row r="1064" spans="1:12" x14ac:dyDescent="0.25">
      <c r="A1064" s="52">
        <v>45808</v>
      </c>
      <c r="B1064" s="27" t="s">
        <v>854</v>
      </c>
      <c r="C1064" s="2" t="s">
        <v>1953</v>
      </c>
      <c r="D1064" s="2">
        <v>1</v>
      </c>
      <c r="E1064" s="27" t="s">
        <v>139</v>
      </c>
      <c r="F1064" t="s">
        <v>468</v>
      </c>
      <c r="G1064" s="47"/>
      <c r="H1064" s="102"/>
      <c r="I1064" s="63" t="s">
        <v>1005</v>
      </c>
      <c r="J1064" t="s">
        <v>1834</v>
      </c>
      <c r="K1064" s="2" t="s">
        <v>1144</v>
      </c>
      <c r="L106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0160-25</v>
      </c>
    </row>
    <row r="1065" spans="1:12" x14ac:dyDescent="0.25">
      <c r="A1065" s="52">
        <v>45808</v>
      </c>
      <c r="B1065" s="27" t="s">
        <v>854</v>
      </c>
      <c r="C1065" s="2" t="s">
        <v>1954</v>
      </c>
      <c r="D1065" s="2">
        <v>1</v>
      </c>
      <c r="E1065" s="27" t="s">
        <v>163</v>
      </c>
      <c r="F1065" t="s">
        <v>2</v>
      </c>
      <c r="G1065" s="47"/>
      <c r="H1065" s="102"/>
      <c r="I1065" s="63" t="s">
        <v>1005</v>
      </c>
      <c r="J1065" t="s">
        <v>1841</v>
      </c>
      <c r="K1065" s="2" t="s">
        <v>1144</v>
      </c>
      <c r="L106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0161-25</v>
      </c>
    </row>
    <row r="1066" spans="1:12" x14ac:dyDescent="0.25">
      <c r="A1066" s="52">
        <v>45808</v>
      </c>
      <c r="B1066" s="27" t="s">
        <v>854</v>
      </c>
      <c r="C1066" s="2" t="s">
        <v>1955</v>
      </c>
      <c r="D1066" s="2">
        <v>1</v>
      </c>
      <c r="E1066" s="27" t="s">
        <v>159</v>
      </c>
      <c r="F1066" t="s">
        <v>39</v>
      </c>
      <c r="G1066" s="47"/>
      <c r="H1066" s="102"/>
      <c r="I1066" s="63" t="s">
        <v>1005</v>
      </c>
      <c r="J1066" t="s">
        <v>1843</v>
      </c>
      <c r="K1066" s="2" t="s">
        <v>1144</v>
      </c>
      <c r="L106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0162-25</v>
      </c>
    </row>
    <row r="1067" spans="1:12" x14ac:dyDescent="0.25">
      <c r="A1067" s="52">
        <v>45808</v>
      </c>
      <c r="B1067" s="27" t="s">
        <v>854</v>
      </c>
      <c r="C1067" s="2" t="s">
        <v>1956</v>
      </c>
      <c r="D1067" s="2">
        <v>1</v>
      </c>
      <c r="E1067" s="27" t="s">
        <v>160</v>
      </c>
      <c r="F1067" t="s">
        <v>40</v>
      </c>
      <c r="G1067" s="47"/>
      <c r="H1067" s="102"/>
      <c r="I1067" s="63" t="s">
        <v>1005</v>
      </c>
      <c r="J1067" t="s">
        <v>1894</v>
      </c>
      <c r="K1067" s="2" t="s">
        <v>1144</v>
      </c>
      <c r="L106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0163-25</v>
      </c>
    </row>
    <row r="1068" spans="1:12" x14ac:dyDescent="0.25">
      <c r="A1068" s="52">
        <v>45808</v>
      </c>
      <c r="B1068" s="27" t="s">
        <v>854</v>
      </c>
      <c r="C1068" s="2" t="s">
        <v>1957</v>
      </c>
      <c r="D1068" s="2">
        <v>1</v>
      </c>
      <c r="E1068" s="27" t="s">
        <v>143</v>
      </c>
      <c r="F1068" t="s">
        <v>467</v>
      </c>
      <c r="G1068" s="47"/>
      <c r="H1068" s="102"/>
      <c r="I1068" s="63" t="s">
        <v>1005</v>
      </c>
      <c r="J1068" t="s">
        <v>1862</v>
      </c>
      <c r="K1068" s="2" t="s">
        <v>1144</v>
      </c>
      <c r="L106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0164-25</v>
      </c>
    </row>
    <row r="1069" spans="1:12" x14ac:dyDescent="0.25">
      <c r="A1069" s="52">
        <v>45808</v>
      </c>
      <c r="B1069" s="27" t="s">
        <v>854</v>
      </c>
      <c r="C1069" s="2" t="s">
        <v>1958</v>
      </c>
      <c r="D1069" s="2">
        <v>1</v>
      </c>
      <c r="E1069" s="27" t="s">
        <v>166</v>
      </c>
      <c r="F1069" t="s">
        <v>44</v>
      </c>
      <c r="G1069" s="47"/>
      <c r="H1069" s="102"/>
      <c r="I1069" s="63" t="s">
        <v>1005</v>
      </c>
      <c r="J1069" t="s">
        <v>1836</v>
      </c>
      <c r="K1069" s="2" t="s">
        <v>1144</v>
      </c>
      <c r="L106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0165-25</v>
      </c>
    </row>
    <row r="1070" spans="1:12" x14ac:dyDescent="0.25">
      <c r="A1070" s="52">
        <v>45808</v>
      </c>
      <c r="B1070" s="27" t="s">
        <v>854</v>
      </c>
      <c r="C1070" s="2" t="s">
        <v>1959</v>
      </c>
      <c r="D1070" s="2">
        <v>1</v>
      </c>
      <c r="E1070" s="27" t="s">
        <v>158</v>
      </c>
      <c r="F1070" t="s">
        <v>38</v>
      </c>
      <c r="G1070" s="47"/>
      <c r="H1070" s="102"/>
      <c r="I1070" s="63" t="s">
        <v>1005</v>
      </c>
      <c r="J1070" t="s">
        <v>1838</v>
      </c>
      <c r="K1070" s="2" t="s">
        <v>1144</v>
      </c>
      <c r="L107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0166-25</v>
      </c>
    </row>
    <row r="1071" spans="1:12" hidden="1" x14ac:dyDescent="0.25">
      <c r="A1071" s="52">
        <v>45808</v>
      </c>
      <c r="B1071" s="27" t="s">
        <v>522</v>
      </c>
      <c r="C1071" s="2" t="s">
        <v>1960</v>
      </c>
      <c r="D1071" s="2">
        <v>6</v>
      </c>
      <c r="E1071" s="27" t="s">
        <v>123</v>
      </c>
      <c r="F1071" t="s">
        <v>15</v>
      </c>
      <c r="G1071" s="47"/>
      <c r="H1071" s="102"/>
      <c r="I1071" s="63"/>
      <c r="J1071" t="s">
        <v>1825</v>
      </c>
      <c r="K1071" s="2" t="s">
        <v>1144</v>
      </c>
      <c r="L107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0168-25</v>
      </c>
    </row>
    <row r="1072" spans="1:12" hidden="1" x14ac:dyDescent="0.25">
      <c r="A1072" s="52">
        <v>45808</v>
      </c>
      <c r="B1072" s="27" t="s">
        <v>522</v>
      </c>
      <c r="C1072" s="2" t="s">
        <v>1961</v>
      </c>
      <c r="D1072" s="2">
        <v>5</v>
      </c>
      <c r="E1072" s="27" t="s">
        <v>123</v>
      </c>
      <c r="F1072" t="s">
        <v>15</v>
      </c>
      <c r="G1072" s="47"/>
      <c r="H1072" s="102"/>
      <c r="I1072" s="63"/>
      <c r="J1072" t="s">
        <v>1825</v>
      </c>
      <c r="K1072" s="2" t="s">
        <v>1144</v>
      </c>
      <c r="L107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0173-25</v>
      </c>
    </row>
    <row r="1073" spans="1:12" hidden="1" x14ac:dyDescent="0.25">
      <c r="A1073" s="52">
        <v>45808</v>
      </c>
      <c r="B1073" s="27" t="s">
        <v>522</v>
      </c>
      <c r="C1073" s="2" t="s">
        <v>1962</v>
      </c>
      <c r="D1073" s="2">
        <v>6</v>
      </c>
      <c r="E1073" s="27" t="s">
        <v>123</v>
      </c>
      <c r="F1073" t="s">
        <v>15</v>
      </c>
      <c r="G1073" s="47"/>
      <c r="H1073" s="102"/>
      <c r="I1073" s="63"/>
      <c r="J1073" t="s">
        <v>1825</v>
      </c>
      <c r="K1073" s="2" t="s">
        <v>1144</v>
      </c>
      <c r="L107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0185-25</v>
      </c>
    </row>
    <row r="1074" spans="1:12" hidden="1" x14ac:dyDescent="0.25">
      <c r="A1074" s="52">
        <v>45808</v>
      </c>
      <c r="B1074" s="27" t="s">
        <v>522</v>
      </c>
      <c r="C1074" s="2" t="s">
        <v>1963</v>
      </c>
      <c r="D1074" s="2">
        <v>2</v>
      </c>
      <c r="E1074" s="27" t="s">
        <v>123</v>
      </c>
      <c r="F1074" t="s">
        <v>15</v>
      </c>
      <c r="G1074" s="47"/>
      <c r="H1074" s="102"/>
      <c r="I1074" s="63"/>
      <c r="J1074" t="s">
        <v>1825</v>
      </c>
      <c r="K1074" s="2" t="s">
        <v>1144</v>
      </c>
      <c r="L107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0189-25</v>
      </c>
    </row>
    <row r="1075" spans="1:12" hidden="1" x14ac:dyDescent="0.25">
      <c r="A1075" s="52">
        <v>45808</v>
      </c>
      <c r="B1075" s="27" t="s">
        <v>522</v>
      </c>
      <c r="C1075" s="2" t="s">
        <v>1964</v>
      </c>
      <c r="D1075" s="2">
        <v>2</v>
      </c>
      <c r="E1075" s="27" t="s">
        <v>175</v>
      </c>
      <c r="F1075" t="s">
        <v>390</v>
      </c>
      <c r="G1075" s="47"/>
      <c r="H1075" s="102"/>
      <c r="I1075" s="63"/>
      <c r="J1075" t="s">
        <v>1832</v>
      </c>
      <c r="K1075" s="2" t="s">
        <v>1144</v>
      </c>
      <c r="L107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(Transporte de 15-26 de Mayo de 2025)</v>
      </c>
    </row>
    <row r="1076" spans="1:12" hidden="1" x14ac:dyDescent="0.25">
      <c r="A1076" s="52">
        <v>45838</v>
      </c>
      <c r="B1076" s="27" t="s">
        <v>148</v>
      </c>
      <c r="C1076" s="2" t="s">
        <v>1965</v>
      </c>
      <c r="D1076" s="2">
        <v>2</v>
      </c>
      <c r="E1076" s="27" t="s">
        <v>123</v>
      </c>
      <c r="F1076" t="s">
        <v>15</v>
      </c>
      <c r="G1076" s="47"/>
      <c r="H1076" s="102"/>
      <c r="I1076" s="63"/>
      <c r="J1076" t="s">
        <v>1878</v>
      </c>
      <c r="K1076" s="2" t="s">
        <v>1172</v>
      </c>
      <c r="L107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0202-25</v>
      </c>
    </row>
    <row r="1077" spans="1:12" hidden="1" x14ac:dyDescent="0.25">
      <c r="A1077" s="52">
        <v>45838</v>
      </c>
      <c r="B1077" s="27" t="s">
        <v>148</v>
      </c>
      <c r="C1077" s="2" t="s">
        <v>1966</v>
      </c>
      <c r="D1077" s="2">
        <v>2</v>
      </c>
      <c r="E1077" s="27" t="s">
        <v>123</v>
      </c>
      <c r="F1077" t="s">
        <v>15</v>
      </c>
      <c r="G1077" s="47"/>
      <c r="H1077" s="102"/>
      <c r="I1077" s="63"/>
      <c r="J1077" t="s">
        <v>1878</v>
      </c>
      <c r="K1077" s="2" t="s">
        <v>1172</v>
      </c>
      <c r="L107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0210-25</v>
      </c>
    </row>
    <row r="1078" spans="1:12" hidden="1" x14ac:dyDescent="0.25">
      <c r="A1078" s="52">
        <v>45838</v>
      </c>
      <c r="B1078" s="27" t="s">
        <v>522</v>
      </c>
      <c r="C1078" s="2" t="s">
        <v>1967</v>
      </c>
      <c r="D1078" s="2">
        <v>2</v>
      </c>
      <c r="E1078" s="27" t="s">
        <v>123</v>
      </c>
      <c r="F1078" t="s">
        <v>15</v>
      </c>
      <c r="G1078" s="47"/>
      <c r="H1078" s="102"/>
      <c r="I1078" s="63"/>
      <c r="J1078" t="s">
        <v>1825</v>
      </c>
      <c r="K1078" s="2" t="s">
        <v>1172</v>
      </c>
      <c r="L107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0206-25</v>
      </c>
    </row>
    <row r="1079" spans="1:12" hidden="1" x14ac:dyDescent="0.25">
      <c r="A1079" s="52">
        <v>45838</v>
      </c>
      <c r="B1079" s="27" t="s">
        <v>522</v>
      </c>
      <c r="C1079" s="2" t="s">
        <v>1968</v>
      </c>
      <c r="D1079" s="2">
        <v>9</v>
      </c>
      <c r="E1079" s="27" t="s">
        <v>123</v>
      </c>
      <c r="F1079" t="s">
        <v>15</v>
      </c>
      <c r="G1079" s="47"/>
      <c r="H1079" s="102"/>
      <c r="I1079" s="63"/>
      <c r="J1079" t="s">
        <v>1825</v>
      </c>
      <c r="K1079" s="2" t="s">
        <v>1172</v>
      </c>
      <c r="L107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0211-25</v>
      </c>
    </row>
    <row r="1080" spans="1:12" hidden="1" x14ac:dyDescent="0.25">
      <c r="A1080" s="52">
        <v>45838</v>
      </c>
      <c r="B1080" s="27" t="s">
        <v>522</v>
      </c>
      <c r="C1080" s="2" t="s">
        <v>1969</v>
      </c>
      <c r="D1080" s="2">
        <v>7</v>
      </c>
      <c r="E1080" s="27" t="s">
        <v>123</v>
      </c>
      <c r="F1080" t="s">
        <v>15</v>
      </c>
      <c r="G1080" s="47"/>
      <c r="H1080" s="102"/>
      <c r="I1080" s="63"/>
      <c r="J1080" t="s">
        <v>1825</v>
      </c>
      <c r="K1080" s="2" t="s">
        <v>1172</v>
      </c>
      <c r="L108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0224-25</v>
      </c>
    </row>
    <row r="1081" spans="1:12" hidden="1" x14ac:dyDescent="0.25">
      <c r="A1081" s="52">
        <v>45838</v>
      </c>
      <c r="B1081" s="27" t="s">
        <v>522</v>
      </c>
      <c r="C1081" s="2" t="s">
        <v>1970</v>
      </c>
      <c r="D1081" s="2">
        <v>4</v>
      </c>
      <c r="E1081" s="27" t="s">
        <v>123</v>
      </c>
      <c r="F1081" t="s">
        <v>15</v>
      </c>
      <c r="G1081" s="47"/>
      <c r="H1081" s="102"/>
      <c r="I1081" s="63"/>
      <c r="J1081" t="s">
        <v>1825</v>
      </c>
      <c r="K1081" s="2" t="s">
        <v>1172</v>
      </c>
      <c r="L108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0230-25</v>
      </c>
    </row>
    <row r="1082" spans="1:12" hidden="1" x14ac:dyDescent="0.25">
      <c r="A1082" s="52">
        <v>45838</v>
      </c>
      <c r="B1082" s="27" t="s">
        <v>522</v>
      </c>
      <c r="C1082" s="2" t="s">
        <v>1971</v>
      </c>
      <c r="D1082" s="2">
        <v>4</v>
      </c>
      <c r="E1082" s="27" t="s">
        <v>123</v>
      </c>
      <c r="F1082" t="s">
        <v>15</v>
      </c>
      <c r="G1082" s="47"/>
      <c r="H1082" s="102"/>
      <c r="I1082" s="63"/>
      <c r="J1082" t="s">
        <v>1825</v>
      </c>
      <c r="K1082" s="2" t="s">
        <v>1172</v>
      </c>
      <c r="L108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0232-25</v>
      </c>
    </row>
    <row r="1083" spans="1:12" hidden="1" x14ac:dyDescent="0.25">
      <c r="A1083" s="52">
        <v>45838</v>
      </c>
      <c r="B1083" s="27" t="s">
        <v>522</v>
      </c>
      <c r="C1083" s="2" t="s">
        <v>1972</v>
      </c>
      <c r="D1083" s="2">
        <v>2</v>
      </c>
      <c r="E1083" s="27" t="s">
        <v>175</v>
      </c>
      <c r="F1083" t="s">
        <v>390</v>
      </c>
      <c r="G1083" s="47"/>
      <c r="H1083" s="102"/>
      <c r="I1083" s="63"/>
      <c r="J1083" t="s">
        <v>1832</v>
      </c>
      <c r="K1083" s="2" t="s">
        <v>1172</v>
      </c>
      <c r="L108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(Transporte del 17 y 24 de Junio de 2025)</v>
      </c>
    </row>
    <row r="1084" spans="1:12" x14ac:dyDescent="0.25">
      <c r="A1084" s="32">
        <v>45869</v>
      </c>
      <c r="B1084" s="27" t="s">
        <v>854</v>
      </c>
      <c r="C1084" s="2" t="s">
        <v>1973</v>
      </c>
      <c r="D1084" s="2">
        <v>1</v>
      </c>
      <c r="E1084" s="27" t="s">
        <v>143</v>
      </c>
      <c r="F1084" t="s">
        <v>467</v>
      </c>
      <c r="I1084" s="63" t="s">
        <v>1005</v>
      </c>
      <c r="J1084" t="s">
        <v>1862</v>
      </c>
      <c r="K1084" s="2" t="s">
        <v>1254</v>
      </c>
    </row>
    <row r="1085" spans="1:12" x14ac:dyDescent="0.25">
      <c r="A1085" s="32">
        <v>45869</v>
      </c>
      <c r="B1085" s="27" t="s">
        <v>854</v>
      </c>
      <c r="C1085" s="2" t="s">
        <v>1974</v>
      </c>
      <c r="D1085" s="2">
        <v>1</v>
      </c>
      <c r="E1085" s="27" t="s">
        <v>166</v>
      </c>
      <c r="F1085" t="s">
        <v>44</v>
      </c>
      <c r="I1085" s="63" t="s">
        <v>1005</v>
      </c>
      <c r="J1085" t="s">
        <v>1836</v>
      </c>
      <c r="K1085" s="2" t="s">
        <v>1254</v>
      </c>
    </row>
    <row r="1086" spans="1:12" x14ac:dyDescent="0.25">
      <c r="A1086" s="32">
        <v>45869</v>
      </c>
      <c r="B1086" s="27" t="s">
        <v>854</v>
      </c>
      <c r="C1086" s="2" t="s">
        <v>1975</v>
      </c>
      <c r="D1086" s="2">
        <v>1</v>
      </c>
      <c r="E1086" s="27" t="s">
        <v>158</v>
      </c>
      <c r="F1086" t="s">
        <v>38</v>
      </c>
      <c r="I1086" s="63" t="s">
        <v>1005</v>
      </c>
      <c r="J1086" t="s">
        <v>1838</v>
      </c>
      <c r="K1086" s="2" t="s">
        <v>1254</v>
      </c>
    </row>
    <row r="1087" spans="1:12" x14ac:dyDescent="0.25">
      <c r="A1087" s="32">
        <v>45869</v>
      </c>
      <c r="B1087" s="27" t="s">
        <v>854</v>
      </c>
      <c r="C1087" s="2" t="s">
        <v>1976</v>
      </c>
      <c r="D1087" s="2">
        <v>1</v>
      </c>
      <c r="E1087" s="27" t="s">
        <v>139</v>
      </c>
      <c r="F1087" t="s">
        <v>468</v>
      </c>
      <c r="I1087" s="63" t="s">
        <v>1005</v>
      </c>
      <c r="J1087" t="s">
        <v>1834</v>
      </c>
      <c r="K1087" s="2" t="s">
        <v>1254</v>
      </c>
    </row>
    <row r="1088" spans="1:12" x14ac:dyDescent="0.25">
      <c r="A1088" s="32">
        <v>45869</v>
      </c>
      <c r="B1088" s="27" t="s">
        <v>854</v>
      </c>
      <c r="C1088" s="2" t="s">
        <v>1977</v>
      </c>
      <c r="D1088" s="2">
        <v>1</v>
      </c>
      <c r="E1088" s="27" t="s">
        <v>163</v>
      </c>
      <c r="F1088" t="s">
        <v>2</v>
      </c>
      <c r="I1088" s="63" t="s">
        <v>1005</v>
      </c>
      <c r="J1088" t="s">
        <v>1841</v>
      </c>
      <c r="K1088" s="2" t="s">
        <v>1254</v>
      </c>
    </row>
    <row r="1089" spans="1:11" x14ac:dyDescent="0.25">
      <c r="A1089" s="32">
        <v>45869</v>
      </c>
      <c r="B1089" s="27" t="s">
        <v>854</v>
      </c>
      <c r="C1089" s="2" t="s">
        <v>1978</v>
      </c>
      <c r="D1089" s="2">
        <v>1</v>
      </c>
      <c r="E1089" s="27" t="s">
        <v>159</v>
      </c>
      <c r="F1089" t="s">
        <v>39</v>
      </c>
      <c r="I1089" s="63" t="s">
        <v>1005</v>
      </c>
      <c r="J1089" t="s">
        <v>1843</v>
      </c>
      <c r="K1089" s="2" t="s">
        <v>1254</v>
      </c>
    </row>
    <row r="1090" spans="1:11" x14ac:dyDescent="0.25">
      <c r="A1090" s="32">
        <v>45869</v>
      </c>
      <c r="B1090" s="27" t="s">
        <v>854</v>
      </c>
      <c r="C1090" s="2" t="s">
        <v>1979</v>
      </c>
      <c r="D1090" s="2">
        <v>1</v>
      </c>
      <c r="E1090" s="27" t="s">
        <v>160</v>
      </c>
      <c r="F1090" t="s">
        <v>40</v>
      </c>
      <c r="I1090" s="63" t="s">
        <v>1005</v>
      </c>
      <c r="J1090" t="s">
        <v>1894</v>
      </c>
      <c r="K1090" s="2" t="s">
        <v>1254</v>
      </c>
    </row>
    <row r="1091" spans="1:11" x14ac:dyDescent="0.25">
      <c r="A1091" s="32">
        <v>45869</v>
      </c>
      <c r="B1091" s="27" t="s">
        <v>854</v>
      </c>
      <c r="C1091" s="2" t="s">
        <v>1980</v>
      </c>
      <c r="D1091" s="2">
        <v>1</v>
      </c>
      <c r="E1091" s="27" t="s">
        <v>143</v>
      </c>
      <c r="F1091" t="s">
        <v>467</v>
      </c>
      <c r="I1091" s="63" t="s">
        <v>1005</v>
      </c>
      <c r="J1091" t="s">
        <v>1862</v>
      </c>
      <c r="K1091" s="2" t="s">
        <v>1254</v>
      </c>
    </row>
    <row r="1092" spans="1:11" x14ac:dyDescent="0.25">
      <c r="A1092" s="32">
        <v>45869</v>
      </c>
      <c r="B1092" s="27" t="s">
        <v>854</v>
      </c>
      <c r="C1092" s="2" t="s">
        <v>1981</v>
      </c>
      <c r="D1092" s="2">
        <v>1</v>
      </c>
      <c r="E1092" s="27" t="s">
        <v>166</v>
      </c>
      <c r="F1092" t="s">
        <v>44</v>
      </c>
      <c r="I1092" s="63" t="s">
        <v>1005</v>
      </c>
      <c r="J1092" t="s">
        <v>1836</v>
      </c>
      <c r="K1092" s="2" t="s">
        <v>1254</v>
      </c>
    </row>
    <row r="1093" spans="1:11" x14ac:dyDescent="0.25">
      <c r="A1093" s="32">
        <v>45869</v>
      </c>
      <c r="B1093" s="27" t="s">
        <v>854</v>
      </c>
      <c r="C1093" s="2" t="s">
        <v>1982</v>
      </c>
      <c r="D1093" s="2">
        <v>1</v>
      </c>
      <c r="E1093" s="27" t="s">
        <v>158</v>
      </c>
      <c r="F1093" t="s">
        <v>38</v>
      </c>
      <c r="I1093" s="63" t="s">
        <v>1005</v>
      </c>
      <c r="J1093" t="s">
        <v>1838</v>
      </c>
      <c r="K1093" s="2" t="s">
        <v>1254</v>
      </c>
    </row>
    <row r="1094" spans="1:11" x14ac:dyDescent="0.25">
      <c r="A1094" s="32">
        <v>45869</v>
      </c>
      <c r="B1094" s="27" t="s">
        <v>854</v>
      </c>
      <c r="C1094" s="2" t="s">
        <v>1983</v>
      </c>
      <c r="D1094" s="2">
        <v>1</v>
      </c>
      <c r="E1094" s="27" t="s">
        <v>139</v>
      </c>
      <c r="F1094" t="s">
        <v>468</v>
      </c>
      <c r="I1094" s="63" t="s">
        <v>1005</v>
      </c>
      <c r="J1094" t="s">
        <v>1834</v>
      </c>
      <c r="K1094" s="2" t="s">
        <v>1254</v>
      </c>
    </row>
    <row r="1095" spans="1:11" x14ac:dyDescent="0.25">
      <c r="A1095" s="32">
        <v>45869</v>
      </c>
      <c r="B1095" s="27" t="s">
        <v>854</v>
      </c>
      <c r="C1095" s="2" t="s">
        <v>1984</v>
      </c>
      <c r="D1095" s="2">
        <v>1</v>
      </c>
      <c r="E1095" s="27" t="s">
        <v>163</v>
      </c>
      <c r="F1095" t="s">
        <v>2</v>
      </c>
      <c r="I1095" s="63" t="s">
        <v>1005</v>
      </c>
      <c r="J1095" t="s">
        <v>1841</v>
      </c>
      <c r="K1095" s="2" t="s">
        <v>1254</v>
      </c>
    </row>
    <row r="1096" spans="1:11" x14ac:dyDescent="0.25">
      <c r="A1096" s="32">
        <v>45869</v>
      </c>
      <c r="B1096" s="27" t="s">
        <v>854</v>
      </c>
      <c r="C1096" s="2" t="s">
        <v>1985</v>
      </c>
      <c r="D1096" s="2">
        <v>1</v>
      </c>
      <c r="E1096" s="27" t="s">
        <v>159</v>
      </c>
      <c r="F1096" t="s">
        <v>39</v>
      </c>
      <c r="I1096" s="63" t="s">
        <v>1005</v>
      </c>
      <c r="J1096" t="s">
        <v>1843</v>
      </c>
      <c r="K1096" s="2" t="s">
        <v>1254</v>
      </c>
    </row>
    <row r="1097" spans="1:11" x14ac:dyDescent="0.25">
      <c r="A1097" s="32">
        <v>45869</v>
      </c>
      <c r="B1097" s="27" t="s">
        <v>854</v>
      </c>
      <c r="C1097" s="2" t="s">
        <v>1986</v>
      </c>
      <c r="D1097" s="2">
        <v>1</v>
      </c>
      <c r="E1097" s="27" t="s">
        <v>160</v>
      </c>
      <c r="F1097" t="s">
        <v>40</v>
      </c>
      <c r="I1097" s="63" t="s">
        <v>1005</v>
      </c>
      <c r="J1097" t="s">
        <v>1894</v>
      </c>
      <c r="K1097" s="2" t="s">
        <v>1254</v>
      </c>
    </row>
    <row r="1098" spans="1:11" x14ac:dyDescent="0.25">
      <c r="A1098" s="32">
        <v>45869</v>
      </c>
      <c r="B1098" s="27" t="s">
        <v>854</v>
      </c>
      <c r="C1098" s="2" t="s">
        <v>1987</v>
      </c>
      <c r="D1098" s="2">
        <v>1</v>
      </c>
      <c r="E1098" s="27" t="s">
        <v>139</v>
      </c>
      <c r="F1098" t="s">
        <v>468</v>
      </c>
      <c r="I1098" s="63" t="s">
        <v>1005</v>
      </c>
      <c r="J1098" t="s">
        <v>1834</v>
      </c>
      <c r="K1098" s="2" t="s">
        <v>1254</v>
      </c>
    </row>
    <row r="1099" spans="1:11" x14ac:dyDescent="0.25">
      <c r="A1099" s="32">
        <v>45869</v>
      </c>
      <c r="B1099" s="27" t="s">
        <v>854</v>
      </c>
      <c r="C1099" s="2" t="s">
        <v>1988</v>
      </c>
      <c r="D1099" s="2">
        <v>1</v>
      </c>
      <c r="E1099" s="27" t="s">
        <v>163</v>
      </c>
      <c r="F1099" t="s">
        <v>2</v>
      </c>
      <c r="I1099" s="63" t="s">
        <v>1005</v>
      </c>
      <c r="J1099" t="s">
        <v>1841</v>
      </c>
      <c r="K1099" s="2" t="s">
        <v>1254</v>
      </c>
    </row>
    <row r="1100" spans="1:11" x14ac:dyDescent="0.25">
      <c r="A1100" s="32">
        <v>45869</v>
      </c>
      <c r="B1100" s="27" t="s">
        <v>854</v>
      </c>
      <c r="C1100" s="2" t="s">
        <v>1989</v>
      </c>
      <c r="D1100" s="2">
        <v>1</v>
      </c>
      <c r="E1100" s="27" t="s">
        <v>159</v>
      </c>
      <c r="F1100" t="s">
        <v>39</v>
      </c>
      <c r="I1100" s="63" t="s">
        <v>1005</v>
      </c>
      <c r="J1100" t="s">
        <v>1843</v>
      </c>
      <c r="K1100" s="2" t="s">
        <v>1254</v>
      </c>
    </row>
    <row r="1101" spans="1:11" x14ac:dyDescent="0.25">
      <c r="A1101" s="32">
        <v>45869</v>
      </c>
      <c r="B1101" s="27" t="s">
        <v>854</v>
      </c>
      <c r="C1101" s="2" t="s">
        <v>1990</v>
      </c>
      <c r="D1101" s="2">
        <v>1</v>
      </c>
      <c r="E1101" s="27" t="s">
        <v>160</v>
      </c>
      <c r="F1101" t="s">
        <v>40</v>
      </c>
      <c r="I1101" s="63" t="s">
        <v>1005</v>
      </c>
      <c r="J1101" t="s">
        <v>1894</v>
      </c>
      <c r="K1101" s="2" t="s">
        <v>1254</v>
      </c>
    </row>
    <row r="1102" spans="1:11" x14ac:dyDescent="0.25">
      <c r="A1102" s="32">
        <v>45869</v>
      </c>
      <c r="B1102" s="27" t="s">
        <v>854</v>
      </c>
      <c r="C1102" s="2" t="s">
        <v>1991</v>
      </c>
      <c r="D1102" s="2">
        <v>1</v>
      </c>
      <c r="E1102" s="27" t="s">
        <v>140</v>
      </c>
      <c r="F1102" t="s">
        <v>469</v>
      </c>
      <c r="I1102" s="63" t="s">
        <v>1005</v>
      </c>
      <c r="J1102" t="s">
        <v>1992</v>
      </c>
      <c r="K1102" s="2" t="s">
        <v>1254</v>
      </c>
    </row>
    <row r="1103" spans="1:11" x14ac:dyDescent="0.25">
      <c r="A1103" s="32">
        <v>45869</v>
      </c>
      <c r="B1103" s="27" t="s">
        <v>854</v>
      </c>
      <c r="C1103" s="2" t="s">
        <v>1993</v>
      </c>
      <c r="D1103" s="2">
        <v>4</v>
      </c>
      <c r="E1103" s="27" t="s">
        <v>141</v>
      </c>
      <c r="F1103" t="s">
        <v>437</v>
      </c>
      <c r="I1103" s="63" t="s">
        <v>1005</v>
      </c>
      <c r="J1103" t="s">
        <v>1994</v>
      </c>
      <c r="K1103" s="2" t="s">
        <v>1254</v>
      </c>
    </row>
    <row r="1104" spans="1:11" hidden="1" x14ac:dyDescent="0.25">
      <c r="A1104" s="32">
        <v>45869</v>
      </c>
      <c r="B1104" s="27" t="s">
        <v>148</v>
      </c>
      <c r="C1104" s="2" t="s">
        <v>1995</v>
      </c>
      <c r="D1104" s="2">
        <v>1</v>
      </c>
      <c r="E1104" s="27" t="s">
        <v>123</v>
      </c>
      <c r="F1104" t="s">
        <v>15</v>
      </c>
      <c r="J1104" t="s">
        <v>1878</v>
      </c>
      <c r="K1104" s="2" t="s">
        <v>1254</v>
      </c>
    </row>
    <row r="1105" spans="1:12" hidden="1" x14ac:dyDescent="0.25">
      <c r="A1105" s="32">
        <v>45869</v>
      </c>
      <c r="B1105" s="27" t="s">
        <v>148</v>
      </c>
      <c r="C1105" s="2" t="s">
        <v>1996</v>
      </c>
      <c r="D1105" s="2">
        <v>4</v>
      </c>
      <c r="E1105" s="27" t="s">
        <v>123</v>
      </c>
      <c r="F1105" t="s">
        <v>15</v>
      </c>
      <c r="J1105" t="s">
        <v>1878</v>
      </c>
      <c r="K1105" s="2" t="s">
        <v>1254</v>
      </c>
    </row>
    <row r="1106" spans="1:12" hidden="1" x14ac:dyDescent="0.25">
      <c r="A1106" s="32">
        <v>45869</v>
      </c>
      <c r="B1106" s="27" t="s">
        <v>148</v>
      </c>
      <c r="C1106" s="2" t="s">
        <v>1997</v>
      </c>
      <c r="D1106" s="2">
        <v>1</v>
      </c>
      <c r="E1106" s="27" t="s">
        <v>123</v>
      </c>
      <c r="F1106" t="s">
        <v>15</v>
      </c>
      <c r="J1106" t="s">
        <v>1878</v>
      </c>
      <c r="K1106" s="2" t="s">
        <v>1254</v>
      </c>
    </row>
    <row r="1107" spans="1:12" x14ac:dyDescent="0.25">
      <c r="A1107" s="32">
        <v>45900</v>
      </c>
      <c r="B1107" s="27" t="s">
        <v>854</v>
      </c>
      <c r="C1107" s="2" t="s">
        <v>1998</v>
      </c>
      <c r="D1107" s="2">
        <v>1</v>
      </c>
      <c r="E1107" s="27" t="s">
        <v>139</v>
      </c>
      <c r="F1107" t="s">
        <v>468</v>
      </c>
      <c r="I1107" s="63" t="s">
        <v>1005</v>
      </c>
      <c r="J1107" t="s">
        <v>1834</v>
      </c>
      <c r="K1107" s="2" t="s">
        <v>1318</v>
      </c>
    </row>
    <row r="1108" spans="1:12" x14ac:dyDescent="0.25">
      <c r="A1108" s="32">
        <v>45900</v>
      </c>
      <c r="B1108" s="27" t="s">
        <v>854</v>
      </c>
      <c r="C1108" s="2" t="s">
        <v>1999</v>
      </c>
      <c r="D1108" s="2">
        <v>1</v>
      </c>
      <c r="E1108" s="27" t="s">
        <v>166</v>
      </c>
      <c r="F1108" t="s">
        <v>44</v>
      </c>
      <c r="I1108" s="63" t="s">
        <v>1005</v>
      </c>
      <c r="J1108" t="s">
        <v>1836</v>
      </c>
      <c r="K1108" s="2" t="s">
        <v>1318</v>
      </c>
    </row>
    <row r="1109" spans="1:12" x14ac:dyDescent="0.25">
      <c r="A1109" s="32">
        <v>45900</v>
      </c>
      <c r="B1109" s="27" t="s">
        <v>854</v>
      </c>
      <c r="C1109" s="2" t="s">
        <v>2000</v>
      </c>
      <c r="D1109" s="2">
        <v>1</v>
      </c>
      <c r="E1109" s="27" t="s">
        <v>158</v>
      </c>
      <c r="F1109" t="s">
        <v>38</v>
      </c>
      <c r="I1109" s="63" t="s">
        <v>1005</v>
      </c>
      <c r="J1109" t="s">
        <v>1838</v>
      </c>
      <c r="K1109" s="2" t="s">
        <v>1318</v>
      </c>
    </row>
    <row r="1110" spans="1:12" x14ac:dyDescent="0.25">
      <c r="A1110" s="32">
        <v>45900</v>
      </c>
      <c r="B1110" s="27" t="s">
        <v>854</v>
      </c>
      <c r="C1110" s="2" t="s">
        <v>2002</v>
      </c>
      <c r="D1110" s="2">
        <v>1</v>
      </c>
      <c r="E1110" s="27" t="s">
        <v>159</v>
      </c>
      <c r="F1110" t="s">
        <v>39</v>
      </c>
      <c r="I1110" s="63" t="s">
        <v>1005</v>
      </c>
      <c r="J1110" t="s">
        <v>1843</v>
      </c>
      <c r="K1110" s="2" t="s">
        <v>1318</v>
      </c>
    </row>
    <row r="1111" spans="1:12" x14ac:dyDescent="0.25">
      <c r="A1111" s="32">
        <v>45900</v>
      </c>
      <c r="B1111" s="27" t="s">
        <v>854</v>
      </c>
      <c r="C1111" s="2" t="s">
        <v>2003</v>
      </c>
      <c r="D1111" s="2">
        <v>1</v>
      </c>
      <c r="E1111" s="27" t="s">
        <v>160</v>
      </c>
      <c r="F1111" t="s">
        <v>40</v>
      </c>
      <c r="I1111" s="63" t="s">
        <v>1005</v>
      </c>
      <c r="J1111" t="s">
        <v>1894</v>
      </c>
      <c r="K1111" s="2" t="s">
        <v>1318</v>
      </c>
    </row>
    <row r="1112" spans="1:12" x14ac:dyDescent="0.25">
      <c r="A1112" s="32">
        <v>45900</v>
      </c>
      <c r="B1112" s="27" t="s">
        <v>854</v>
      </c>
      <c r="C1112" s="2" t="s">
        <v>2001</v>
      </c>
      <c r="D1112" s="2">
        <v>1</v>
      </c>
      <c r="E1112" s="27" t="s">
        <v>163</v>
      </c>
      <c r="F1112" t="s">
        <v>2</v>
      </c>
      <c r="I1112" s="63" t="s">
        <v>1005</v>
      </c>
      <c r="J1112" t="s">
        <v>1841</v>
      </c>
      <c r="K1112" s="2" t="s">
        <v>1318</v>
      </c>
    </row>
    <row r="1113" spans="1:12" x14ac:dyDescent="0.25">
      <c r="A1113" s="52">
        <v>45900</v>
      </c>
      <c r="B1113" s="27" t="s">
        <v>854</v>
      </c>
      <c r="C1113" s="2" t="s">
        <v>2013</v>
      </c>
      <c r="D1113" s="2">
        <v>1</v>
      </c>
      <c r="E1113" s="27" t="s">
        <v>139</v>
      </c>
      <c r="F1113" t="s">
        <v>468</v>
      </c>
      <c r="G1113" s="47"/>
      <c r="H1113" s="102"/>
      <c r="I1113" s="63" t="s">
        <v>1005</v>
      </c>
      <c r="J1113" t="s">
        <v>1834</v>
      </c>
      <c r="K1113" s="2" t="s">
        <v>1318</v>
      </c>
    </row>
    <row r="1114" spans="1:12" hidden="1" x14ac:dyDescent="0.25">
      <c r="A1114" s="52">
        <v>45900</v>
      </c>
      <c r="B1114" s="27" t="s">
        <v>522</v>
      </c>
      <c r="C1114" s="2" t="s">
        <v>2004</v>
      </c>
      <c r="D1114" s="2">
        <v>2</v>
      </c>
      <c r="E1114" s="27" t="s">
        <v>123</v>
      </c>
      <c r="F1114" t="s">
        <v>15</v>
      </c>
      <c r="G1114" s="47"/>
      <c r="H1114" s="102"/>
      <c r="I1114" s="63"/>
      <c r="J1114" t="s">
        <v>1825</v>
      </c>
      <c r="K1114" s="2" t="s">
        <v>1318</v>
      </c>
      <c r="L111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0253-25</v>
      </c>
    </row>
    <row r="1115" spans="1:12" hidden="1" x14ac:dyDescent="0.25">
      <c r="A1115" s="52">
        <v>45900</v>
      </c>
      <c r="B1115" s="27" t="s">
        <v>522</v>
      </c>
      <c r="C1115" s="2" t="s">
        <v>2005</v>
      </c>
      <c r="D1115" s="2">
        <v>6</v>
      </c>
      <c r="E1115" s="27" t="s">
        <v>123</v>
      </c>
      <c r="F1115" t="s">
        <v>15</v>
      </c>
      <c r="G1115" s="47"/>
      <c r="H1115" s="102"/>
      <c r="I1115" s="63"/>
      <c r="J1115" t="s">
        <v>1825</v>
      </c>
      <c r="K1115" s="2" t="s">
        <v>1318</v>
      </c>
      <c r="L111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0260-25</v>
      </c>
    </row>
    <row r="1116" spans="1:12" hidden="1" x14ac:dyDescent="0.25">
      <c r="A1116" s="52">
        <v>45900</v>
      </c>
      <c r="B1116" s="27" t="s">
        <v>522</v>
      </c>
      <c r="C1116" s="2" t="s">
        <v>2006</v>
      </c>
      <c r="D1116" s="2">
        <v>2</v>
      </c>
      <c r="E1116" s="27" t="s">
        <v>123</v>
      </c>
      <c r="F1116" t="s">
        <v>15</v>
      </c>
      <c r="G1116" s="47"/>
      <c r="H1116" s="102"/>
      <c r="I1116" s="63"/>
      <c r="J1116" t="s">
        <v>1825</v>
      </c>
      <c r="K1116" s="2" t="s">
        <v>1318</v>
      </c>
      <c r="L111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0264-25</v>
      </c>
    </row>
    <row r="1117" spans="1:12" hidden="1" x14ac:dyDescent="0.25">
      <c r="A1117" s="52">
        <v>45900</v>
      </c>
      <c r="B1117" s="27" t="s">
        <v>522</v>
      </c>
      <c r="C1117" s="2" t="s">
        <v>2007</v>
      </c>
      <c r="D1117" s="2">
        <v>6</v>
      </c>
      <c r="E1117" s="27" t="s">
        <v>123</v>
      </c>
      <c r="F1117" t="s">
        <v>15</v>
      </c>
      <c r="G1117" s="47"/>
      <c r="H1117" s="102"/>
      <c r="I1117" s="63"/>
      <c r="J1117" t="s">
        <v>1825</v>
      </c>
      <c r="K1117" s="2" t="s">
        <v>1318</v>
      </c>
      <c r="L111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0267-25</v>
      </c>
    </row>
    <row r="1118" spans="1:12" hidden="1" x14ac:dyDescent="0.25">
      <c r="A1118" s="52">
        <v>45900</v>
      </c>
      <c r="B1118" s="27" t="s">
        <v>522</v>
      </c>
      <c r="C1118" s="2" t="s">
        <v>2008</v>
      </c>
      <c r="D1118" s="2">
        <v>3</v>
      </c>
      <c r="E1118" s="27" t="s">
        <v>123</v>
      </c>
      <c r="F1118" t="s">
        <v>15</v>
      </c>
      <c r="G1118" s="47"/>
      <c r="H1118" s="102"/>
      <c r="I1118" s="63"/>
      <c r="J1118" t="s">
        <v>1825</v>
      </c>
      <c r="K1118" s="2" t="s">
        <v>1318</v>
      </c>
      <c r="L111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0279-25</v>
      </c>
    </row>
    <row r="1119" spans="1:12" hidden="1" x14ac:dyDescent="0.25">
      <c r="A1119" s="52">
        <v>45900</v>
      </c>
      <c r="B1119" s="27" t="s">
        <v>522</v>
      </c>
      <c r="C1119" s="2" t="s">
        <v>2009</v>
      </c>
      <c r="D1119" s="2">
        <v>6</v>
      </c>
      <c r="E1119" s="27" t="s">
        <v>123</v>
      </c>
      <c r="F1119" t="s">
        <v>15</v>
      </c>
      <c r="G1119" s="47"/>
      <c r="H1119" s="102"/>
      <c r="I1119" s="63"/>
      <c r="J1119" t="s">
        <v>1825</v>
      </c>
      <c r="K1119" s="2" t="s">
        <v>1318</v>
      </c>
      <c r="L111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0288-25</v>
      </c>
    </row>
    <row r="1120" spans="1:12" hidden="1" x14ac:dyDescent="0.25">
      <c r="A1120" s="52">
        <v>45900</v>
      </c>
      <c r="B1120" s="27" t="s">
        <v>522</v>
      </c>
      <c r="C1120" s="2" t="s">
        <v>2010</v>
      </c>
      <c r="D1120" s="2">
        <v>3</v>
      </c>
      <c r="E1120" s="27" t="s">
        <v>123</v>
      </c>
      <c r="F1120" t="s">
        <v>15</v>
      </c>
      <c r="G1120" s="47"/>
      <c r="H1120" s="102"/>
      <c r="I1120" s="63"/>
      <c r="J1120" t="s">
        <v>1825</v>
      </c>
      <c r="K1120" s="2" t="s">
        <v>1318</v>
      </c>
      <c r="L112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0293-25</v>
      </c>
    </row>
    <row r="1121" spans="1:12" hidden="1" x14ac:dyDescent="0.25">
      <c r="A1121" s="52">
        <v>45900</v>
      </c>
      <c r="B1121" s="27" t="s">
        <v>522</v>
      </c>
      <c r="C1121" s="2" t="s">
        <v>2011</v>
      </c>
      <c r="D1121" s="2">
        <v>9</v>
      </c>
      <c r="E1121" s="27" t="s">
        <v>123</v>
      </c>
      <c r="F1121" t="s">
        <v>15</v>
      </c>
      <c r="G1121" s="47"/>
      <c r="H1121" s="102"/>
      <c r="I1121" s="63"/>
      <c r="J1121" t="s">
        <v>1825</v>
      </c>
      <c r="K1121" s="2" t="s">
        <v>1318</v>
      </c>
      <c r="L112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0316-25</v>
      </c>
    </row>
    <row r="1122" spans="1:12" hidden="1" x14ac:dyDescent="0.25">
      <c r="A1122" s="52">
        <v>45900</v>
      </c>
      <c r="B1122" s="27" t="s">
        <v>522</v>
      </c>
      <c r="C1122" s="2" t="s">
        <v>2012</v>
      </c>
      <c r="D1122" s="2">
        <v>3</v>
      </c>
      <c r="E1122" s="27" t="s">
        <v>175</v>
      </c>
      <c r="F1122" t="s">
        <v>390</v>
      </c>
      <c r="G1122" s="47"/>
      <c r="H1122" s="102"/>
      <c r="I1122" s="63"/>
      <c r="J1122" t="s">
        <v>1832</v>
      </c>
      <c r="K1122" s="2" t="s">
        <v>1318</v>
      </c>
      <c r="L112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(TRANSPORTE 02-08-18 JULIO)</v>
      </c>
    </row>
    <row r="1123" spans="1:12" hidden="1" x14ac:dyDescent="0.25">
      <c r="A1123" s="52">
        <v>45930</v>
      </c>
      <c r="B1123" s="27" t="s">
        <v>148</v>
      </c>
      <c r="C1123" s="2" t="s">
        <v>2015</v>
      </c>
      <c r="D1123" s="2">
        <v>4</v>
      </c>
      <c r="E1123" s="27" t="s">
        <v>123</v>
      </c>
      <c r="F1123" t="s">
        <v>15</v>
      </c>
      <c r="G1123" s="47"/>
      <c r="H1123" s="102"/>
      <c r="I1123" s="63"/>
      <c r="J1123" t="s">
        <v>1878</v>
      </c>
      <c r="K1123" s="2" t="s">
        <v>1352</v>
      </c>
      <c r="L112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0364-25</v>
      </c>
    </row>
    <row r="1124" spans="1:12" hidden="1" x14ac:dyDescent="0.25">
      <c r="A1124" s="52">
        <v>45930</v>
      </c>
      <c r="B1124" s="27" t="s">
        <v>148</v>
      </c>
      <c r="C1124" s="2" t="s">
        <v>2016</v>
      </c>
      <c r="D1124" s="2">
        <v>2</v>
      </c>
      <c r="E1124" s="27" t="s">
        <v>123</v>
      </c>
      <c r="F1124" t="s">
        <v>15</v>
      </c>
      <c r="G1124" s="47"/>
      <c r="H1124" s="102"/>
      <c r="I1124" s="63"/>
      <c r="J1124" t="s">
        <v>1878</v>
      </c>
      <c r="K1124" s="2" t="s">
        <v>1352</v>
      </c>
      <c r="L112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0366-25</v>
      </c>
    </row>
    <row r="1125" spans="1:12" hidden="1" x14ac:dyDescent="0.25">
      <c r="A1125" s="52">
        <v>45930</v>
      </c>
      <c r="B1125" s="27" t="s">
        <v>137</v>
      </c>
      <c r="C1125" s="2" t="s">
        <v>2017</v>
      </c>
      <c r="D1125" s="2">
        <v>3</v>
      </c>
      <c r="E1125" s="27" t="s">
        <v>123</v>
      </c>
      <c r="F1125" t="s">
        <v>15</v>
      </c>
      <c r="G1125" s="47"/>
      <c r="H1125" s="102"/>
      <c r="I1125" s="63"/>
      <c r="J1125" t="s">
        <v>2018</v>
      </c>
      <c r="K1125" s="2" t="s">
        <v>1352</v>
      </c>
      <c r="L112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0353-25</v>
      </c>
    </row>
    <row r="1126" spans="1:12" hidden="1" x14ac:dyDescent="0.25">
      <c r="A1126" s="52">
        <v>45930</v>
      </c>
      <c r="B1126" s="27" t="s">
        <v>137</v>
      </c>
      <c r="C1126" s="2" t="s">
        <v>2019</v>
      </c>
      <c r="D1126" s="2">
        <v>3</v>
      </c>
      <c r="E1126" s="27" t="s">
        <v>123</v>
      </c>
      <c r="F1126" t="s">
        <v>15</v>
      </c>
      <c r="G1126" s="47"/>
      <c r="H1126" s="102"/>
      <c r="I1126" s="63"/>
      <c r="J1126" t="s">
        <v>2018</v>
      </c>
      <c r="K1126" s="2" t="s">
        <v>1352</v>
      </c>
      <c r="L112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0355-25</v>
      </c>
    </row>
    <row r="1127" spans="1:12" hidden="1" x14ac:dyDescent="0.25">
      <c r="A1127" s="52">
        <v>45930</v>
      </c>
      <c r="B1127" s="27" t="s">
        <v>137</v>
      </c>
      <c r="C1127" s="2" t="s">
        <v>2020</v>
      </c>
      <c r="D1127" s="2">
        <v>6</v>
      </c>
      <c r="E1127" s="27" t="s">
        <v>123</v>
      </c>
      <c r="F1127" t="s">
        <v>15</v>
      </c>
      <c r="G1127" s="47"/>
      <c r="H1127" s="102"/>
      <c r="I1127" s="63"/>
      <c r="J1127" t="s">
        <v>2018</v>
      </c>
      <c r="K1127" s="2" t="s">
        <v>1352</v>
      </c>
      <c r="L112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0359-25</v>
      </c>
    </row>
    <row r="1128" spans="1:12" hidden="1" x14ac:dyDescent="0.25">
      <c r="A1128" s="52">
        <v>45930</v>
      </c>
      <c r="B1128" s="27" t="s">
        <v>137</v>
      </c>
      <c r="C1128" s="2" t="s">
        <v>2021</v>
      </c>
      <c r="D1128" s="2">
        <v>3</v>
      </c>
      <c r="E1128" s="27" t="s">
        <v>123</v>
      </c>
      <c r="F1128" t="s">
        <v>15</v>
      </c>
      <c r="G1128" s="47"/>
      <c r="H1128" s="102"/>
      <c r="I1128" s="63"/>
      <c r="J1128" t="s">
        <v>2018</v>
      </c>
      <c r="K1128" s="2" t="s">
        <v>1352</v>
      </c>
      <c r="L112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0361-25</v>
      </c>
    </row>
    <row r="1129" spans="1:12" hidden="1" x14ac:dyDescent="0.25">
      <c r="A1129" s="52">
        <v>45930</v>
      </c>
      <c r="B1129" s="27" t="s">
        <v>137</v>
      </c>
      <c r="C1129" s="2" t="s">
        <v>2022</v>
      </c>
      <c r="D1129" s="2">
        <v>12</v>
      </c>
      <c r="E1129" s="27" t="s">
        <v>123</v>
      </c>
      <c r="F1129" t="s">
        <v>15</v>
      </c>
      <c r="G1129" s="47"/>
      <c r="H1129" s="102"/>
      <c r="I1129" s="63"/>
      <c r="J1129" t="s">
        <v>2018</v>
      </c>
      <c r="K1129" s="2" t="s">
        <v>1352</v>
      </c>
      <c r="L112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0369-25</v>
      </c>
    </row>
    <row r="1130" spans="1:12" hidden="1" x14ac:dyDescent="0.25">
      <c r="A1130" s="52">
        <v>45930</v>
      </c>
      <c r="B1130" s="27" t="s">
        <v>137</v>
      </c>
      <c r="C1130" s="2" t="s">
        <v>2023</v>
      </c>
      <c r="D1130" s="2">
        <v>6</v>
      </c>
      <c r="E1130" s="27" t="s">
        <v>123</v>
      </c>
      <c r="F1130" t="s">
        <v>15</v>
      </c>
      <c r="G1130" s="47"/>
      <c r="H1130" s="102"/>
      <c r="I1130" s="63"/>
      <c r="J1130" t="s">
        <v>2018</v>
      </c>
      <c r="K1130" s="2" t="s">
        <v>1352</v>
      </c>
      <c r="L113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0371-25</v>
      </c>
    </row>
    <row r="1131" spans="1:12" hidden="1" x14ac:dyDescent="0.25">
      <c r="A1131" s="52">
        <v>45930</v>
      </c>
      <c r="B1131" s="27" t="s">
        <v>137</v>
      </c>
      <c r="C1131" s="2" t="s">
        <v>2024</v>
      </c>
      <c r="D1131" s="2">
        <v>3</v>
      </c>
      <c r="E1131" s="27" t="s">
        <v>123</v>
      </c>
      <c r="F1131" t="s">
        <v>15</v>
      </c>
      <c r="G1131" s="47"/>
      <c r="H1131" s="102"/>
      <c r="I1131" s="63"/>
      <c r="J1131" t="s">
        <v>2018</v>
      </c>
      <c r="K1131" s="2" t="s">
        <v>1352</v>
      </c>
      <c r="L113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0374-25</v>
      </c>
    </row>
    <row r="1132" spans="1:12" hidden="1" x14ac:dyDescent="0.25">
      <c r="A1132" s="52">
        <v>45930</v>
      </c>
      <c r="B1132" s="27" t="s">
        <v>137</v>
      </c>
      <c r="C1132" s="2" t="s">
        <v>2025</v>
      </c>
      <c r="D1132" s="2">
        <v>6</v>
      </c>
      <c r="E1132" s="27" t="s">
        <v>123</v>
      </c>
      <c r="F1132" t="s">
        <v>15</v>
      </c>
      <c r="G1132" s="47"/>
      <c r="H1132" s="102"/>
      <c r="I1132" s="63"/>
      <c r="J1132" t="s">
        <v>2018</v>
      </c>
      <c r="K1132" s="2" t="s">
        <v>1352</v>
      </c>
      <c r="L113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0378-25</v>
      </c>
    </row>
    <row r="1133" spans="1:12" hidden="1" x14ac:dyDescent="0.25">
      <c r="A1133" s="52">
        <v>45930</v>
      </c>
      <c r="B1133" s="27" t="s">
        <v>137</v>
      </c>
      <c r="C1133" s="2" t="s">
        <v>2026</v>
      </c>
      <c r="D1133" s="2">
        <v>3</v>
      </c>
      <c r="E1133" s="27" t="s">
        <v>123</v>
      </c>
      <c r="F1133" t="s">
        <v>15</v>
      </c>
      <c r="G1133" s="47"/>
      <c r="H1133" s="102"/>
      <c r="I1133" s="63"/>
      <c r="J1133" t="s">
        <v>2018</v>
      </c>
      <c r="K1133" s="2" t="s">
        <v>1352</v>
      </c>
      <c r="L113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0379-25</v>
      </c>
    </row>
    <row r="1134" spans="1:12" hidden="1" x14ac:dyDescent="0.25">
      <c r="A1134" s="52">
        <v>45930</v>
      </c>
      <c r="B1134" s="27" t="s">
        <v>137</v>
      </c>
      <c r="C1134" s="2" t="s">
        <v>2027</v>
      </c>
      <c r="D1134" s="2">
        <v>9</v>
      </c>
      <c r="E1134" s="27" t="s">
        <v>123</v>
      </c>
      <c r="F1134" t="s">
        <v>15</v>
      </c>
      <c r="G1134" s="47"/>
      <c r="H1134" s="102"/>
      <c r="I1134" s="63"/>
      <c r="J1134" t="s">
        <v>2018</v>
      </c>
      <c r="K1134" s="2" t="s">
        <v>1352</v>
      </c>
      <c r="L113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0380-25</v>
      </c>
    </row>
    <row r="1135" spans="1:12" hidden="1" x14ac:dyDescent="0.25">
      <c r="A1135" s="52">
        <v>45930</v>
      </c>
      <c r="B1135" s="27" t="s">
        <v>137</v>
      </c>
      <c r="C1135" s="2" t="s">
        <v>2028</v>
      </c>
      <c r="D1135" s="2">
        <v>3</v>
      </c>
      <c r="E1135" s="27" t="s">
        <v>123</v>
      </c>
      <c r="F1135" t="s">
        <v>15</v>
      </c>
      <c r="G1135" s="47"/>
      <c r="H1135" s="102"/>
      <c r="I1135" s="63"/>
      <c r="J1135" t="s">
        <v>2018</v>
      </c>
      <c r="K1135" s="2" t="s">
        <v>1352</v>
      </c>
      <c r="L113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0385-25</v>
      </c>
    </row>
    <row r="1136" spans="1:12" hidden="1" x14ac:dyDescent="0.25">
      <c r="A1136" s="52">
        <v>45930</v>
      </c>
      <c r="B1136" s="27" t="s">
        <v>137</v>
      </c>
      <c r="C1136" s="2" t="s">
        <v>2029</v>
      </c>
      <c r="D1136" s="2">
        <v>3</v>
      </c>
      <c r="E1136" s="27" t="s">
        <v>123</v>
      </c>
      <c r="F1136" t="s">
        <v>15</v>
      </c>
      <c r="G1136" s="47"/>
      <c r="H1136" s="102"/>
      <c r="I1136" s="63"/>
      <c r="J1136" t="s">
        <v>2018</v>
      </c>
      <c r="K1136" s="2" t="s">
        <v>1352</v>
      </c>
      <c r="L113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0387-25</v>
      </c>
    </row>
    <row r="1137" spans="1:12" hidden="1" x14ac:dyDescent="0.25">
      <c r="A1137" s="52">
        <v>45930</v>
      </c>
      <c r="B1137" s="27" t="s">
        <v>137</v>
      </c>
      <c r="C1137" s="2" t="s">
        <v>2030</v>
      </c>
      <c r="D1137" s="2">
        <v>6</v>
      </c>
      <c r="E1137" s="27" t="s">
        <v>123</v>
      </c>
      <c r="F1137" t="s">
        <v>15</v>
      </c>
      <c r="G1137" s="47"/>
      <c r="H1137" s="102"/>
      <c r="I1137" s="63"/>
      <c r="J1137" t="s">
        <v>2018</v>
      </c>
      <c r="K1137" s="2" t="s">
        <v>1352</v>
      </c>
      <c r="L113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0397-25</v>
      </c>
    </row>
    <row r="1138" spans="1:12" hidden="1" x14ac:dyDescent="0.25">
      <c r="A1138" s="52">
        <v>45930</v>
      </c>
      <c r="B1138" s="27" t="s">
        <v>137</v>
      </c>
      <c r="C1138" s="2" t="s">
        <v>2031</v>
      </c>
      <c r="D1138" s="2">
        <v>3</v>
      </c>
      <c r="E1138" s="27" t="s">
        <v>123</v>
      </c>
      <c r="F1138" t="s">
        <v>15</v>
      </c>
      <c r="G1138" s="47"/>
      <c r="H1138" s="102"/>
      <c r="I1138" s="63"/>
      <c r="J1138" t="s">
        <v>2018</v>
      </c>
      <c r="K1138" s="2" t="s">
        <v>1352</v>
      </c>
      <c r="L113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0400-25</v>
      </c>
    </row>
    <row r="1139" spans="1:12" hidden="1" x14ac:dyDescent="0.25">
      <c r="A1139" s="52">
        <v>45930</v>
      </c>
      <c r="B1139" s="27" t="s">
        <v>137</v>
      </c>
      <c r="C1139" s="2" t="s">
        <v>2032</v>
      </c>
      <c r="D1139" s="2">
        <v>3</v>
      </c>
      <c r="E1139" s="27" t="s">
        <v>123</v>
      </c>
      <c r="F1139" t="s">
        <v>15</v>
      </c>
      <c r="G1139" s="47"/>
      <c r="H1139" s="102"/>
      <c r="I1139" s="63"/>
      <c r="J1139" t="s">
        <v>2018</v>
      </c>
      <c r="K1139" s="2" t="s">
        <v>1352</v>
      </c>
      <c r="L113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0404-25</v>
      </c>
    </row>
    <row r="1140" spans="1:12" hidden="1" x14ac:dyDescent="0.25">
      <c r="A1140" s="52">
        <v>45930</v>
      </c>
      <c r="B1140" s="27" t="s">
        <v>137</v>
      </c>
      <c r="C1140" s="2" t="s">
        <v>2033</v>
      </c>
      <c r="D1140" s="2">
        <v>3</v>
      </c>
      <c r="E1140" s="27" t="s">
        <v>123</v>
      </c>
      <c r="F1140" t="s">
        <v>15</v>
      </c>
      <c r="G1140" s="47"/>
      <c r="H1140" s="102"/>
      <c r="I1140" s="63"/>
      <c r="J1140" t="s">
        <v>2018</v>
      </c>
      <c r="K1140" s="2" t="s">
        <v>1352</v>
      </c>
      <c r="L114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0409-25</v>
      </c>
    </row>
    <row r="1141" spans="1:12" hidden="1" x14ac:dyDescent="0.25">
      <c r="A1141" s="52">
        <v>45930</v>
      </c>
      <c r="B1141" s="27" t="s">
        <v>137</v>
      </c>
      <c r="C1141" s="2" t="s">
        <v>2034</v>
      </c>
      <c r="D1141" s="2">
        <v>3</v>
      </c>
      <c r="E1141" s="27" t="s">
        <v>175</v>
      </c>
      <c r="F1141" t="s">
        <v>390</v>
      </c>
      <c r="G1141" s="47"/>
      <c r="H1141" s="102"/>
      <c r="I1141" s="63"/>
      <c r="J1141" t="s">
        <v>2035</v>
      </c>
      <c r="K1141" s="2" t="s">
        <v>1352</v>
      </c>
      <c r="L114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Transporte( 11-18-26 septiembre)</v>
      </c>
    </row>
    <row r="1142" spans="1:12" x14ac:dyDescent="0.25">
      <c r="A1142" s="52">
        <v>45930</v>
      </c>
      <c r="B1142" s="27" t="s">
        <v>854</v>
      </c>
      <c r="C1142" s="2" t="s">
        <v>2036</v>
      </c>
      <c r="D1142" s="2">
        <v>1</v>
      </c>
      <c r="E1142" s="27" t="s">
        <v>139</v>
      </c>
      <c r="F1142" t="s">
        <v>468</v>
      </c>
      <c r="G1142" s="47"/>
      <c r="H1142" s="102"/>
      <c r="I1142" s="63" t="s">
        <v>1005</v>
      </c>
      <c r="J1142" t="s">
        <v>1834</v>
      </c>
      <c r="K1142" s="2" t="s">
        <v>1352</v>
      </c>
      <c r="L114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0390-25</v>
      </c>
    </row>
    <row r="1143" spans="1:12" x14ac:dyDescent="0.25">
      <c r="A1143" s="52">
        <v>45930</v>
      </c>
      <c r="B1143" s="27" t="s">
        <v>854</v>
      </c>
      <c r="C1143" s="2" t="s">
        <v>2037</v>
      </c>
      <c r="D1143" s="2">
        <v>1</v>
      </c>
      <c r="E1143" s="27" t="s">
        <v>166</v>
      </c>
      <c r="F1143" t="s">
        <v>44</v>
      </c>
      <c r="G1143" s="47"/>
      <c r="H1143" s="102"/>
      <c r="I1143" s="63" t="s">
        <v>1005</v>
      </c>
      <c r="J1143" t="s">
        <v>1836</v>
      </c>
      <c r="K1143" s="2" t="s">
        <v>1352</v>
      </c>
      <c r="L114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0391-25</v>
      </c>
    </row>
    <row r="1144" spans="1:12" x14ac:dyDescent="0.25">
      <c r="A1144" s="52">
        <v>45930</v>
      </c>
      <c r="B1144" s="27" t="s">
        <v>854</v>
      </c>
      <c r="C1144" s="2" t="s">
        <v>2038</v>
      </c>
      <c r="D1144" s="2">
        <v>1</v>
      </c>
      <c r="E1144" s="27" t="s">
        <v>158</v>
      </c>
      <c r="F1144" t="s">
        <v>38</v>
      </c>
      <c r="G1144" s="47"/>
      <c r="H1144" s="102"/>
      <c r="I1144" s="63" t="s">
        <v>1005</v>
      </c>
      <c r="J1144" t="s">
        <v>1838</v>
      </c>
      <c r="K1144" s="2" t="s">
        <v>1352</v>
      </c>
      <c r="L114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0392-25</v>
      </c>
    </row>
    <row r="1145" spans="1:12" x14ac:dyDescent="0.25">
      <c r="A1145" s="52">
        <v>45930</v>
      </c>
      <c r="B1145" s="27" t="s">
        <v>854</v>
      </c>
      <c r="C1145" s="2" t="s">
        <v>2039</v>
      </c>
      <c r="D1145" s="2">
        <v>1</v>
      </c>
      <c r="E1145" s="27" t="s">
        <v>139</v>
      </c>
      <c r="F1145" t="s">
        <v>468</v>
      </c>
      <c r="G1145" s="47"/>
      <c r="H1145" s="102"/>
      <c r="I1145" s="63" t="s">
        <v>1005</v>
      </c>
      <c r="J1145" t="s">
        <v>1834</v>
      </c>
      <c r="K1145" s="2" t="s">
        <v>1352</v>
      </c>
      <c r="L114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0393-25</v>
      </c>
    </row>
    <row r="1146" spans="1:12" x14ac:dyDescent="0.25">
      <c r="A1146" s="52">
        <v>45930</v>
      </c>
      <c r="B1146" s="27" t="s">
        <v>854</v>
      </c>
      <c r="C1146" s="2" t="s">
        <v>2040</v>
      </c>
      <c r="D1146" s="2">
        <v>1</v>
      </c>
      <c r="E1146" s="27" t="s">
        <v>163</v>
      </c>
      <c r="F1146" t="s">
        <v>2</v>
      </c>
      <c r="G1146" s="47"/>
      <c r="H1146" s="102"/>
      <c r="I1146" s="63" t="s">
        <v>1005</v>
      </c>
      <c r="J1146" t="s">
        <v>1841</v>
      </c>
      <c r="K1146" s="2" t="s">
        <v>1352</v>
      </c>
      <c r="L114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0394-25</v>
      </c>
    </row>
    <row r="1147" spans="1:12" x14ac:dyDescent="0.25">
      <c r="A1147" s="52">
        <v>45930</v>
      </c>
      <c r="B1147" s="27" t="s">
        <v>854</v>
      </c>
      <c r="C1147" s="2" t="s">
        <v>2041</v>
      </c>
      <c r="D1147" s="2">
        <v>1</v>
      </c>
      <c r="E1147" s="27" t="s">
        <v>159</v>
      </c>
      <c r="F1147" t="s">
        <v>39</v>
      </c>
      <c r="G1147" s="47"/>
      <c r="H1147" s="102"/>
      <c r="I1147" s="63" t="s">
        <v>1005</v>
      </c>
      <c r="J1147" t="s">
        <v>1843</v>
      </c>
      <c r="K1147" s="2" t="s">
        <v>1352</v>
      </c>
      <c r="L114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0395-25</v>
      </c>
    </row>
    <row r="1148" spans="1:12" x14ac:dyDescent="0.25">
      <c r="A1148" s="52">
        <v>45930</v>
      </c>
      <c r="B1148" s="27" t="s">
        <v>854</v>
      </c>
      <c r="C1148" s="2" t="s">
        <v>2042</v>
      </c>
      <c r="D1148" s="2">
        <v>1</v>
      </c>
      <c r="E1148" s="27" t="s">
        <v>160</v>
      </c>
      <c r="F1148" t="s">
        <v>40</v>
      </c>
      <c r="G1148" s="47"/>
      <c r="H1148" s="102"/>
      <c r="I1148" s="63" t="s">
        <v>1005</v>
      </c>
      <c r="J1148" t="s">
        <v>1894</v>
      </c>
      <c r="K1148" s="2" t="s">
        <v>1352</v>
      </c>
      <c r="L114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0396-25</v>
      </c>
    </row>
    <row r="1149" spans="1:12" x14ac:dyDescent="0.25">
      <c r="A1149" s="52">
        <v>45961</v>
      </c>
      <c r="B1149" s="27" t="s">
        <v>854</v>
      </c>
      <c r="C1149" s="2" t="s">
        <v>2043</v>
      </c>
      <c r="D1149" s="2">
        <v>1</v>
      </c>
      <c r="E1149" s="27" t="s">
        <v>139</v>
      </c>
      <c r="F1149" t="s">
        <v>468</v>
      </c>
      <c r="G1149" s="47"/>
      <c r="H1149" s="102"/>
      <c r="I1149" s="63" t="s">
        <v>1005</v>
      </c>
      <c r="J1149" t="s">
        <v>1834</v>
      </c>
      <c r="K1149" s="2" t="s">
        <v>1395</v>
      </c>
      <c r="L114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0445-25</v>
      </c>
    </row>
    <row r="1150" spans="1:12" x14ac:dyDescent="0.25">
      <c r="A1150" s="52">
        <v>45961</v>
      </c>
      <c r="B1150" s="27" t="s">
        <v>854</v>
      </c>
      <c r="C1150" s="2" t="s">
        <v>2044</v>
      </c>
      <c r="D1150" s="2">
        <v>1</v>
      </c>
      <c r="E1150" s="27" t="s">
        <v>166</v>
      </c>
      <c r="F1150" t="s">
        <v>44</v>
      </c>
      <c r="G1150" s="47"/>
      <c r="H1150" s="102"/>
      <c r="I1150" s="63" t="s">
        <v>1005</v>
      </c>
      <c r="J1150" t="s">
        <v>1836</v>
      </c>
      <c r="K1150" s="2" t="s">
        <v>1395</v>
      </c>
      <c r="L115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0446-25</v>
      </c>
    </row>
    <row r="1151" spans="1:12" x14ac:dyDescent="0.25">
      <c r="A1151" s="52">
        <v>45961</v>
      </c>
      <c r="B1151" s="27" t="s">
        <v>854</v>
      </c>
      <c r="C1151" s="2" t="s">
        <v>2045</v>
      </c>
      <c r="D1151" s="2">
        <v>1</v>
      </c>
      <c r="E1151" s="27" t="s">
        <v>158</v>
      </c>
      <c r="F1151" t="s">
        <v>38</v>
      </c>
      <c r="G1151" s="47"/>
      <c r="H1151" s="102"/>
      <c r="I1151" s="63" t="s">
        <v>1005</v>
      </c>
      <c r="J1151" t="s">
        <v>1838</v>
      </c>
      <c r="K1151" s="2" t="s">
        <v>1395</v>
      </c>
      <c r="L115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0447-25</v>
      </c>
    </row>
    <row r="1152" spans="1:12" x14ac:dyDescent="0.25">
      <c r="A1152" s="52">
        <v>45961</v>
      </c>
      <c r="B1152" s="27" t="s">
        <v>854</v>
      </c>
      <c r="C1152" s="2" t="s">
        <v>2046</v>
      </c>
      <c r="D1152" s="2">
        <v>1</v>
      </c>
      <c r="E1152" s="27" t="s">
        <v>139</v>
      </c>
      <c r="F1152" t="s">
        <v>468</v>
      </c>
      <c r="G1152" s="47"/>
      <c r="H1152" s="102"/>
      <c r="I1152" s="63" t="s">
        <v>1005</v>
      </c>
      <c r="J1152" t="s">
        <v>1834</v>
      </c>
      <c r="K1152" s="2" t="s">
        <v>1395</v>
      </c>
      <c r="L115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0448-25</v>
      </c>
    </row>
    <row r="1153" spans="1:12" x14ac:dyDescent="0.25">
      <c r="A1153" s="52">
        <v>45961</v>
      </c>
      <c r="B1153" s="27" t="s">
        <v>854</v>
      </c>
      <c r="C1153" s="2" t="s">
        <v>2047</v>
      </c>
      <c r="D1153" s="2">
        <v>1</v>
      </c>
      <c r="E1153" s="27" t="s">
        <v>163</v>
      </c>
      <c r="F1153" t="s">
        <v>2</v>
      </c>
      <c r="G1153" s="47"/>
      <c r="H1153" s="102"/>
      <c r="I1153" s="63" t="s">
        <v>1005</v>
      </c>
      <c r="J1153" t="s">
        <v>1841</v>
      </c>
      <c r="K1153" s="2" t="s">
        <v>1395</v>
      </c>
      <c r="L115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0449-25</v>
      </c>
    </row>
    <row r="1154" spans="1:12" x14ac:dyDescent="0.25">
      <c r="A1154" s="52">
        <v>45961</v>
      </c>
      <c r="B1154" s="27" t="s">
        <v>854</v>
      </c>
      <c r="C1154" s="2" t="s">
        <v>2048</v>
      </c>
      <c r="D1154" s="2">
        <v>1</v>
      </c>
      <c r="E1154" s="27" t="s">
        <v>159</v>
      </c>
      <c r="F1154" t="s">
        <v>39</v>
      </c>
      <c r="G1154" s="47"/>
      <c r="H1154" s="102"/>
      <c r="I1154" s="63" t="s">
        <v>1005</v>
      </c>
      <c r="J1154" t="s">
        <v>1843</v>
      </c>
      <c r="K1154" s="2" t="s">
        <v>1395</v>
      </c>
      <c r="L115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0450-25</v>
      </c>
    </row>
    <row r="1155" spans="1:12" x14ac:dyDescent="0.25">
      <c r="A1155" s="52">
        <v>45961</v>
      </c>
      <c r="B1155" s="27" t="s">
        <v>854</v>
      </c>
      <c r="C1155" s="2" t="s">
        <v>2049</v>
      </c>
      <c r="D1155" s="2">
        <v>1</v>
      </c>
      <c r="E1155" s="27" t="s">
        <v>160</v>
      </c>
      <c r="F1155" t="s">
        <v>40</v>
      </c>
      <c r="G1155" s="47"/>
      <c r="H1155" s="102"/>
      <c r="I1155" s="63" t="s">
        <v>1005</v>
      </c>
      <c r="J1155" t="s">
        <v>1894</v>
      </c>
      <c r="K1155" s="2" t="s">
        <v>1395</v>
      </c>
      <c r="L115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0451-25</v>
      </c>
    </row>
    <row r="1156" spans="1:12" x14ac:dyDescent="0.25">
      <c r="A1156" s="52">
        <v>45961</v>
      </c>
      <c r="B1156" s="27" t="s">
        <v>137</v>
      </c>
      <c r="C1156" s="2" t="s">
        <v>2051</v>
      </c>
      <c r="D1156" s="2">
        <v>3</v>
      </c>
      <c r="E1156" s="27" t="s">
        <v>123</v>
      </c>
      <c r="F1156" t="s">
        <v>15</v>
      </c>
      <c r="G1156" s="47"/>
      <c r="H1156" s="102"/>
      <c r="I1156" s="63" t="s">
        <v>1005</v>
      </c>
      <c r="J1156" t="s">
        <v>2018</v>
      </c>
      <c r="K1156" s="2" t="s">
        <v>1395</v>
      </c>
      <c r="L115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0411-25</v>
      </c>
    </row>
    <row r="1157" spans="1:12" x14ac:dyDescent="0.25">
      <c r="A1157" s="52">
        <v>45961</v>
      </c>
      <c r="B1157" s="27" t="s">
        <v>137</v>
      </c>
      <c r="C1157" s="2" t="s">
        <v>2052</v>
      </c>
      <c r="D1157" s="2">
        <v>3</v>
      </c>
      <c r="E1157" s="27" t="s">
        <v>123</v>
      </c>
      <c r="F1157" t="s">
        <v>15</v>
      </c>
      <c r="G1157" s="47"/>
      <c r="H1157" s="102"/>
      <c r="I1157" s="63" t="s">
        <v>1005</v>
      </c>
      <c r="J1157" t="s">
        <v>2018</v>
      </c>
      <c r="K1157" s="2" t="s">
        <v>1395</v>
      </c>
      <c r="L115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0414-25</v>
      </c>
    </row>
    <row r="1158" spans="1:12" x14ac:dyDescent="0.25">
      <c r="A1158" s="52">
        <v>45961</v>
      </c>
      <c r="B1158" s="27" t="s">
        <v>137</v>
      </c>
      <c r="C1158" s="2" t="s">
        <v>2053</v>
      </c>
      <c r="D1158" s="2">
        <v>3</v>
      </c>
      <c r="E1158" s="27" t="s">
        <v>123</v>
      </c>
      <c r="F1158" t="s">
        <v>15</v>
      </c>
      <c r="G1158" s="47"/>
      <c r="H1158" s="102"/>
      <c r="I1158" s="63" t="s">
        <v>1005</v>
      </c>
      <c r="J1158" t="s">
        <v>2018</v>
      </c>
      <c r="K1158" s="2" t="s">
        <v>1395</v>
      </c>
      <c r="L115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0416-25</v>
      </c>
    </row>
    <row r="1159" spans="1:12" x14ac:dyDescent="0.25">
      <c r="A1159" s="52">
        <v>45961</v>
      </c>
      <c r="B1159" s="27" t="s">
        <v>137</v>
      </c>
      <c r="C1159" s="2" t="s">
        <v>2054</v>
      </c>
      <c r="D1159" s="2">
        <v>3</v>
      </c>
      <c r="E1159" s="27" t="s">
        <v>123</v>
      </c>
      <c r="F1159" t="s">
        <v>15</v>
      </c>
      <c r="G1159" s="47"/>
      <c r="H1159" s="102"/>
      <c r="I1159" s="63" t="s">
        <v>1005</v>
      </c>
      <c r="J1159" t="s">
        <v>2018</v>
      </c>
      <c r="K1159" s="2" t="s">
        <v>1395</v>
      </c>
      <c r="L115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0419-25</v>
      </c>
    </row>
    <row r="1160" spans="1:12" x14ac:dyDescent="0.25">
      <c r="A1160" s="52">
        <v>45961</v>
      </c>
      <c r="B1160" s="27" t="s">
        <v>137</v>
      </c>
      <c r="C1160" s="2" t="s">
        <v>2055</v>
      </c>
      <c r="D1160" s="2">
        <v>3</v>
      </c>
      <c r="E1160" s="27" t="s">
        <v>123</v>
      </c>
      <c r="F1160" t="s">
        <v>15</v>
      </c>
      <c r="G1160" s="47"/>
      <c r="H1160" s="102"/>
      <c r="I1160" s="63" t="s">
        <v>1005</v>
      </c>
      <c r="J1160" t="s">
        <v>2018</v>
      </c>
      <c r="K1160" s="2" t="s">
        <v>1395</v>
      </c>
      <c r="L116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0422-25</v>
      </c>
    </row>
    <row r="1161" spans="1:12" x14ac:dyDescent="0.25">
      <c r="A1161" s="52">
        <v>45961</v>
      </c>
      <c r="B1161" s="27" t="s">
        <v>137</v>
      </c>
      <c r="C1161" s="2" t="s">
        <v>2056</v>
      </c>
      <c r="D1161" s="2">
        <v>3</v>
      </c>
      <c r="E1161" s="27" t="s">
        <v>123</v>
      </c>
      <c r="F1161" t="s">
        <v>15</v>
      </c>
      <c r="G1161" s="47"/>
      <c r="H1161" s="102"/>
      <c r="I1161" s="63" t="s">
        <v>1005</v>
      </c>
      <c r="J1161" t="s">
        <v>2018</v>
      </c>
      <c r="K1161" s="2" t="s">
        <v>1395</v>
      </c>
      <c r="L116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0423-25</v>
      </c>
    </row>
    <row r="1162" spans="1:12" x14ac:dyDescent="0.25">
      <c r="A1162" s="52">
        <v>45961</v>
      </c>
      <c r="B1162" s="27" t="s">
        <v>137</v>
      </c>
      <c r="C1162" s="2" t="s">
        <v>2057</v>
      </c>
      <c r="D1162" s="2">
        <v>18</v>
      </c>
      <c r="E1162" s="27" t="s">
        <v>123</v>
      </c>
      <c r="F1162" t="s">
        <v>15</v>
      </c>
      <c r="G1162" s="47"/>
      <c r="H1162" s="102"/>
      <c r="I1162" s="63" t="s">
        <v>1005</v>
      </c>
      <c r="J1162" t="s">
        <v>2018</v>
      </c>
      <c r="K1162" s="2" t="s">
        <v>1395</v>
      </c>
      <c r="L116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0425-25</v>
      </c>
    </row>
    <row r="1163" spans="1:12" x14ac:dyDescent="0.25">
      <c r="A1163" s="52">
        <v>45961</v>
      </c>
      <c r="B1163" s="27" t="s">
        <v>137</v>
      </c>
      <c r="C1163" s="2" t="s">
        <v>2058</v>
      </c>
      <c r="D1163" s="2">
        <v>6</v>
      </c>
      <c r="E1163" s="27" t="s">
        <v>123</v>
      </c>
      <c r="F1163" t="s">
        <v>15</v>
      </c>
      <c r="G1163" s="47"/>
      <c r="H1163" s="102"/>
      <c r="I1163" s="63" t="s">
        <v>1005</v>
      </c>
      <c r="J1163" t="s">
        <v>2018</v>
      </c>
      <c r="K1163" s="2" t="s">
        <v>1395</v>
      </c>
      <c r="L116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0427-25</v>
      </c>
    </row>
    <row r="1164" spans="1:12" x14ac:dyDescent="0.25">
      <c r="A1164" s="52">
        <v>45961</v>
      </c>
      <c r="B1164" s="27" t="s">
        <v>137</v>
      </c>
      <c r="C1164" s="2" t="s">
        <v>2059</v>
      </c>
      <c r="D1164" s="2">
        <v>6</v>
      </c>
      <c r="E1164" s="27" t="s">
        <v>123</v>
      </c>
      <c r="F1164" t="s">
        <v>15</v>
      </c>
      <c r="G1164" s="47"/>
      <c r="H1164" s="102"/>
      <c r="I1164" s="63" t="s">
        <v>1005</v>
      </c>
      <c r="J1164" t="s">
        <v>2018</v>
      </c>
      <c r="K1164" s="2" t="s">
        <v>1395</v>
      </c>
      <c r="L116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0429-25</v>
      </c>
    </row>
    <row r="1165" spans="1:12" x14ac:dyDescent="0.25">
      <c r="A1165" s="52">
        <v>45961</v>
      </c>
      <c r="B1165" s="27" t="s">
        <v>137</v>
      </c>
      <c r="C1165" s="2" t="s">
        <v>2060</v>
      </c>
      <c r="D1165" s="2">
        <v>3</v>
      </c>
      <c r="E1165" s="27" t="s">
        <v>123</v>
      </c>
      <c r="F1165" t="s">
        <v>15</v>
      </c>
      <c r="G1165" s="47"/>
      <c r="H1165" s="102"/>
      <c r="I1165" s="63" t="s">
        <v>1005</v>
      </c>
      <c r="J1165" t="s">
        <v>2018</v>
      </c>
      <c r="K1165" s="2" t="s">
        <v>1395</v>
      </c>
      <c r="L116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0432-25</v>
      </c>
    </row>
    <row r="1166" spans="1:12" x14ac:dyDescent="0.25">
      <c r="A1166" s="52">
        <v>45961</v>
      </c>
      <c r="B1166" s="27" t="s">
        <v>137</v>
      </c>
      <c r="C1166" s="2" t="s">
        <v>2061</v>
      </c>
      <c r="D1166" s="2">
        <v>3</v>
      </c>
      <c r="E1166" s="27" t="s">
        <v>123</v>
      </c>
      <c r="F1166" t="s">
        <v>15</v>
      </c>
      <c r="G1166" s="47"/>
      <c r="H1166" s="102"/>
      <c r="I1166" s="63" t="s">
        <v>1005</v>
      </c>
      <c r="J1166" t="s">
        <v>2018</v>
      </c>
      <c r="K1166" s="2" t="s">
        <v>1395</v>
      </c>
      <c r="L116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0435-25</v>
      </c>
    </row>
    <row r="1167" spans="1:12" x14ac:dyDescent="0.25">
      <c r="A1167" s="52">
        <v>45961</v>
      </c>
      <c r="B1167" s="27" t="s">
        <v>137</v>
      </c>
      <c r="C1167" s="2" t="s">
        <v>2062</v>
      </c>
      <c r="D1167" s="2">
        <v>3</v>
      </c>
      <c r="E1167" s="27" t="s">
        <v>123</v>
      </c>
      <c r="F1167" t="s">
        <v>15</v>
      </c>
      <c r="G1167" s="47"/>
      <c r="H1167" s="102"/>
      <c r="I1167" s="63" t="s">
        <v>1005</v>
      </c>
      <c r="J1167" t="s">
        <v>2018</v>
      </c>
      <c r="K1167" s="2" t="s">
        <v>1395</v>
      </c>
      <c r="L116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0437-25</v>
      </c>
    </row>
    <row r="1168" spans="1:12" x14ac:dyDescent="0.25">
      <c r="A1168" s="52">
        <v>45961</v>
      </c>
      <c r="B1168" s="27" t="s">
        <v>137</v>
      </c>
      <c r="C1168" s="2" t="s">
        <v>2063</v>
      </c>
      <c r="D1168" s="2">
        <v>3</v>
      </c>
      <c r="E1168" s="27" t="s">
        <v>123</v>
      </c>
      <c r="F1168" t="s">
        <v>15</v>
      </c>
      <c r="G1168" s="47"/>
      <c r="H1168" s="102"/>
      <c r="I1168" s="63" t="s">
        <v>1005</v>
      </c>
      <c r="J1168" t="s">
        <v>2018</v>
      </c>
      <c r="K1168" s="2" t="s">
        <v>1395</v>
      </c>
      <c r="L116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0440-25</v>
      </c>
    </row>
    <row r="1169" spans="1:12" x14ac:dyDescent="0.25">
      <c r="A1169" s="52">
        <v>45961</v>
      </c>
      <c r="B1169" s="27" t="s">
        <v>137</v>
      </c>
      <c r="C1169" s="2" t="s">
        <v>2064</v>
      </c>
      <c r="D1169" s="2">
        <v>3</v>
      </c>
      <c r="E1169" s="27" t="s">
        <v>123</v>
      </c>
      <c r="F1169" t="s">
        <v>15</v>
      </c>
      <c r="G1169" s="47"/>
      <c r="H1169" s="102"/>
      <c r="I1169" s="63" t="s">
        <v>1005</v>
      </c>
      <c r="J1169" t="s">
        <v>2018</v>
      </c>
      <c r="K1169" s="2" t="s">
        <v>1395</v>
      </c>
      <c r="L116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0441-25</v>
      </c>
    </row>
    <row r="1170" spans="1:12" x14ac:dyDescent="0.25">
      <c r="A1170" s="52">
        <v>45961</v>
      </c>
      <c r="B1170" s="27" t="s">
        <v>137</v>
      </c>
      <c r="C1170" s="2" t="s">
        <v>2065</v>
      </c>
      <c r="D1170" s="2">
        <v>3</v>
      </c>
      <c r="E1170" s="27" t="s">
        <v>123</v>
      </c>
      <c r="F1170" t="s">
        <v>15</v>
      </c>
      <c r="G1170" s="47"/>
      <c r="H1170" s="102"/>
      <c r="I1170" s="63" t="s">
        <v>1005</v>
      </c>
      <c r="J1170" t="s">
        <v>2018</v>
      </c>
      <c r="K1170" s="2" t="s">
        <v>1395</v>
      </c>
      <c r="L117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0455-25</v>
      </c>
    </row>
    <row r="1171" spans="1:12" x14ac:dyDescent="0.25">
      <c r="A1171" s="52">
        <v>45961</v>
      </c>
      <c r="B1171" s="27" t="s">
        <v>137</v>
      </c>
      <c r="C1171" s="2" t="s">
        <v>2066</v>
      </c>
      <c r="D1171" s="2">
        <v>15</v>
      </c>
      <c r="E1171" s="27" t="s">
        <v>123</v>
      </c>
      <c r="F1171" t="s">
        <v>15</v>
      </c>
      <c r="G1171" s="47"/>
      <c r="H1171" s="102"/>
      <c r="I1171" s="63" t="s">
        <v>1005</v>
      </c>
      <c r="J1171" t="s">
        <v>2018</v>
      </c>
      <c r="K1171" s="2" t="s">
        <v>1395</v>
      </c>
      <c r="L117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0462-25</v>
      </c>
    </row>
    <row r="1172" spans="1:12" x14ac:dyDescent="0.25">
      <c r="A1172" s="52">
        <v>45961</v>
      </c>
      <c r="B1172" s="27" t="s">
        <v>137</v>
      </c>
      <c r="C1172" s="2" t="s">
        <v>2067</v>
      </c>
      <c r="D1172" s="2">
        <v>3</v>
      </c>
      <c r="E1172" s="27" t="s">
        <v>123</v>
      </c>
      <c r="F1172" t="s">
        <v>15</v>
      </c>
      <c r="G1172" s="47"/>
      <c r="H1172" s="102"/>
      <c r="I1172" s="63" t="s">
        <v>1005</v>
      </c>
      <c r="J1172" t="s">
        <v>2018</v>
      </c>
      <c r="K1172" s="2" t="s">
        <v>1395</v>
      </c>
      <c r="L117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0464-25</v>
      </c>
    </row>
    <row r="1173" spans="1:12" x14ac:dyDescent="0.25">
      <c r="A1173" s="52">
        <v>45961</v>
      </c>
      <c r="B1173" s="27" t="s">
        <v>137</v>
      </c>
      <c r="C1173" s="2" t="s">
        <v>2068</v>
      </c>
      <c r="D1173" s="2">
        <v>2</v>
      </c>
      <c r="E1173" s="27" t="s">
        <v>175</v>
      </c>
      <c r="F1173" t="s">
        <v>390</v>
      </c>
      <c r="G1173" s="47"/>
      <c r="H1173" s="102"/>
      <c r="I1173" s="63" t="s">
        <v>1005</v>
      </c>
      <c r="J1173" t="s">
        <v>2035</v>
      </c>
      <c r="K1173" s="2" t="s">
        <v>1395</v>
      </c>
      <c r="L117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Trasporte (09-30 Octubre 2025)</v>
      </c>
    </row>
    <row r="1174" spans="1:12" x14ac:dyDescent="0.25">
      <c r="A1174" s="52">
        <v>45991</v>
      </c>
      <c r="B1174" s="27" t="s">
        <v>854</v>
      </c>
      <c r="C1174" s="2" t="s">
        <v>2069</v>
      </c>
      <c r="D1174" s="2">
        <v>1</v>
      </c>
      <c r="E1174" s="27" t="s">
        <v>139</v>
      </c>
      <c r="F1174" t="s">
        <v>468</v>
      </c>
      <c r="G1174" s="47"/>
      <c r="H1174" s="102"/>
      <c r="I1174" s="63"/>
      <c r="J1174" t="s">
        <v>1834</v>
      </c>
      <c r="K1174" s="2" t="s">
        <v>1434</v>
      </c>
      <c r="L117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0502-25</v>
      </c>
    </row>
    <row r="1175" spans="1:12" x14ac:dyDescent="0.25">
      <c r="A1175" s="52">
        <v>45991</v>
      </c>
      <c r="B1175" s="27" t="s">
        <v>854</v>
      </c>
      <c r="C1175" s="2" t="s">
        <v>2070</v>
      </c>
      <c r="D1175" s="2">
        <v>1</v>
      </c>
      <c r="E1175" s="27" t="s">
        <v>166</v>
      </c>
      <c r="F1175" t="s">
        <v>44</v>
      </c>
      <c r="G1175" s="47"/>
      <c r="H1175" s="102"/>
      <c r="I1175" s="63"/>
      <c r="J1175" t="s">
        <v>1836</v>
      </c>
      <c r="K1175" s="2" t="s">
        <v>1434</v>
      </c>
      <c r="L117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0503-25</v>
      </c>
    </row>
    <row r="1176" spans="1:12" x14ac:dyDescent="0.25">
      <c r="A1176" s="52">
        <v>45991</v>
      </c>
      <c r="B1176" s="27" t="s">
        <v>854</v>
      </c>
      <c r="C1176" s="2" t="s">
        <v>2071</v>
      </c>
      <c r="D1176" s="2">
        <v>1</v>
      </c>
      <c r="E1176" s="27" t="s">
        <v>158</v>
      </c>
      <c r="F1176" t="s">
        <v>38</v>
      </c>
      <c r="G1176" s="47"/>
      <c r="H1176" s="102"/>
      <c r="I1176" s="63"/>
      <c r="J1176" t="s">
        <v>1838</v>
      </c>
      <c r="K1176" s="2" t="s">
        <v>1434</v>
      </c>
      <c r="L117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0504-25</v>
      </c>
    </row>
    <row r="1177" spans="1:12" x14ac:dyDescent="0.25">
      <c r="A1177" s="52">
        <v>45991</v>
      </c>
      <c r="B1177" s="27" t="s">
        <v>854</v>
      </c>
      <c r="C1177" s="2" t="s">
        <v>2072</v>
      </c>
      <c r="D1177" s="2">
        <v>1</v>
      </c>
      <c r="E1177" s="27" t="s">
        <v>139</v>
      </c>
      <c r="F1177" t="s">
        <v>468</v>
      </c>
      <c r="G1177" s="47"/>
      <c r="H1177" s="102"/>
      <c r="I1177" s="63"/>
      <c r="J1177" t="s">
        <v>1834</v>
      </c>
      <c r="K1177" s="2" t="s">
        <v>1434</v>
      </c>
      <c r="L117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0505-25</v>
      </c>
    </row>
    <row r="1178" spans="1:12" x14ac:dyDescent="0.25">
      <c r="A1178" s="52">
        <v>45991</v>
      </c>
      <c r="B1178" s="27" t="s">
        <v>854</v>
      </c>
      <c r="C1178" s="2" t="s">
        <v>2073</v>
      </c>
      <c r="D1178" s="2">
        <v>1</v>
      </c>
      <c r="E1178" s="27" t="s">
        <v>163</v>
      </c>
      <c r="F1178" t="s">
        <v>2</v>
      </c>
      <c r="G1178" s="47"/>
      <c r="H1178" s="102"/>
      <c r="I1178" s="63"/>
      <c r="J1178" t="s">
        <v>1841</v>
      </c>
      <c r="K1178" s="2" t="s">
        <v>1434</v>
      </c>
      <c r="L117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0506-25</v>
      </c>
    </row>
    <row r="1179" spans="1:12" x14ac:dyDescent="0.25">
      <c r="A1179" s="52">
        <v>45991</v>
      </c>
      <c r="B1179" s="27" t="s">
        <v>854</v>
      </c>
      <c r="C1179" s="2" t="s">
        <v>2074</v>
      </c>
      <c r="D1179" s="2">
        <v>1</v>
      </c>
      <c r="E1179" s="27" t="s">
        <v>159</v>
      </c>
      <c r="F1179" t="s">
        <v>39</v>
      </c>
      <c r="G1179" s="47"/>
      <c r="H1179" s="102"/>
      <c r="I1179" s="63"/>
      <c r="J1179" t="s">
        <v>1843</v>
      </c>
      <c r="K1179" s="2" t="s">
        <v>1434</v>
      </c>
      <c r="L117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0507-25</v>
      </c>
    </row>
    <row r="1180" spans="1:12" x14ac:dyDescent="0.25">
      <c r="A1180" s="52">
        <v>45991</v>
      </c>
      <c r="B1180" s="27" t="s">
        <v>854</v>
      </c>
      <c r="C1180" s="2" t="s">
        <v>2075</v>
      </c>
      <c r="D1180" s="2">
        <v>1</v>
      </c>
      <c r="E1180" s="27" t="s">
        <v>160</v>
      </c>
      <c r="F1180" t="s">
        <v>40</v>
      </c>
      <c r="G1180" s="47"/>
      <c r="H1180" s="102"/>
      <c r="I1180" s="63"/>
      <c r="J1180" t="s">
        <v>1894</v>
      </c>
      <c r="K1180" s="2" t="s">
        <v>1434</v>
      </c>
      <c r="L118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0508-25</v>
      </c>
    </row>
    <row r="1181" spans="1:12" x14ac:dyDescent="0.25">
      <c r="A1181" s="52">
        <v>45991</v>
      </c>
      <c r="B1181" s="27" t="s">
        <v>137</v>
      </c>
      <c r="C1181" s="2" t="s">
        <v>2076</v>
      </c>
      <c r="D1181" s="2">
        <v>5</v>
      </c>
      <c r="E1181" s="27" t="s">
        <v>141</v>
      </c>
      <c r="F1181" t="s">
        <v>437</v>
      </c>
      <c r="G1181" s="47"/>
      <c r="H1181" s="102"/>
      <c r="I1181" s="63"/>
      <c r="J1181" t="s">
        <v>2077</v>
      </c>
      <c r="K1181" s="2" t="s">
        <v>1434</v>
      </c>
      <c r="L118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0497-25</v>
      </c>
    </row>
    <row r="1182" spans="1:12" x14ac:dyDescent="0.25">
      <c r="A1182" s="52">
        <v>45991</v>
      </c>
      <c r="B1182" s="27" t="s">
        <v>137</v>
      </c>
      <c r="C1182" s="2" t="s">
        <v>2078</v>
      </c>
      <c r="D1182" s="2">
        <v>15</v>
      </c>
      <c r="E1182" s="27" t="s">
        <v>123</v>
      </c>
      <c r="F1182" t="s">
        <v>15</v>
      </c>
      <c r="G1182" s="47"/>
      <c r="H1182" s="102"/>
      <c r="I1182" s="63"/>
      <c r="J1182" t="s">
        <v>2018</v>
      </c>
      <c r="K1182" s="2" t="s">
        <v>1434</v>
      </c>
      <c r="L118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0467-25</v>
      </c>
    </row>
    <row r="1183" spans="1:12" x14ac:dyDescent="0.25">
      <c r="A1183" s="52">
        <v>45991</v>
      </c>
      <c r="B1183" s="27" t="s">
        <v>137</v>
      </c>
      <c r="C1183" s="2" t="s">
        <v>2079</v>
      </c>
      <c r="D1183" s="2">
        <v>3</v>
      </c>
      <c r="E1183" s="27" t="s">
        <v>123</v>
      </c>
      <c r="F1183" t="s">
        <v>15</v>
      </c>
      <c r="G1183" s="47"/>
      <c r="H1183" s="102"/>
      <c r="I1183" s="63"/>
      <c r="J1183" t="s">
        <v>2018</v>
      </c>
      <c r="K1183" s="2" t="s">
        <v>1434</v>
      </c>
      <c r="L118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0473-25</v>
      </c>
    </row>
    <row r="1184" spans="1:12" x14ac:dyDescent="0.25">
      <c r="A1184" s="52">
        <v>45991</v>
      </c>
      <c r="B1184" s="27" t="s">
        <v>137</v>
      </c>
      <c r="C1184" s="2" t="s">
        <v>2080</v>
      </c>
      <c r="D1184" s="2">
        <v>3</v>
      </c>
      <c r="E1184" s="27" t="s">
        <v>123</v>
      </c>
      <c r="F1184" t="s">
        <v>15</v>
      </c>
      <c r="G1184" s="47"/>
      <c r="H1184" s="102"/>
      <c r="I1184" s="63"/>
      <c r="J1184" t="s">
        <v>2018</v>
      </c>
      <c r="K1184" s="2" t="s">
        <v>1434</v>
      </c>
      <c r="L118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0478-25</v>
      </c>
    </row>
    <row r="1185" spans="1:12" x14ac:dyDescent="0.25">
      <c r="A1185" s="52">
        <v>45991</v>
      </c>
      <c r="B1185" s="27" t="s">
        <v>137</v>
      </c>
      <c r="C1185" s="2" t="s">
        <v>2081</v>
      </c>
      <c r="D1185" s="2">
        <v>3</v>
      </c>
      <c r="E1185" s="27" t="s">
        <v>123</v>
      </c>
      <c r="F1185" t="s">
        <v>15</v>
      </c>
      <c r="G1185" s="47"/>
      <c r="H1185" s="102"/>
      <c r="I1185" s="63"/>
      <c r="J1185" t="s">
        <v>2018</v>
      </c>
      <c r="K1185" s="2" t="s">
        <v>1434</v>
      </c>
      <c r="L118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0483-25</v>
      </c>
    </row>
    <row r="1186" spans="1:12" x14ac:dyDescent="0.25">
      <c r="A1186" s="52">
        <v>45991</v>
      </c>
      <c r="B1186" s="27" t="s">
        <v>137</v>
      </c>
      <c r="C1186" s="2" t="s">
        <v>2082</v>
      </c>
      <c r="D1186" s="2">
        <v>3</v>
      </c>
      <c r="E1186" s="27" t="s">
        <v>123</v>
      </c>
      <c r="F1186" t="s">
        <v>15</v>
      </c>
      <c r="G1186" s="47"/>
      <c r="H1186" s="102"/>
      <c r="I1186" s="63"/>
      <c r="J1186" t="s">
        <v>2018</v>
      </c>
      <c r="K1186" s="2" t="s">
        <v>1434</v>
      </c>
      <c r="L118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0485-25</v>
      </c>
    </row>
    <row r="1187" spans="1:12" x14ac:dyDescent="0.25">
      <c r="A1187" s="52">
        <v>45991</v>
      </c>
      <c r="B1187" s="27" t="s">
        <v>137</v>
      </c>
      <c r="C1187" s="2" t="s">
        <v>2083</v>
      </c>
      <c r="D1187" s="2">
        <v>9</v>
      </c>
      <c r="E1187" s="27" t="s">
        <v>123</v>
      </c>
      <c r="F1187" t="s">
        <v>15</v>
      </c>
      <c r="G1187" s="47"/>
      <c r="H1187" s="102"/>
      <c r="I1187" s="63"/>
      <c r="J1187" t="s">
        <v>2018</v>
      </c>
      <c r="K1187" s="2" t="s">
        <v>1434</v>
      </c>
      <c r="L118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0492-25</v>
      </c>
    </row>
    <row r="1188" spans="1:12" x14ac:dyDescent="0.25">
      <c r="A1188" s="52">
        <v>46022</v>
      </c>
      <c r="B1188" s="27" t="s">
        <v>148</v>
      </c>
      <c r="C1188" s="2" t="s">
        <v>2084</v>
      </c>
      <c r="D1188" s="2">
        <v>3</v>
      </c>
      <c r="E1188" s="27" t="s">
        <v>123</v>
      </c>
      <c r="F1188" t="s">
        <v>15</v>
      </c>
      <c r="G1188" s="47"/>
      <c r="H1188" s="102"/>
      <c r="I1188" s="63"/>
      <c r="J1188" t="s">
        <v>1878</v>
      </c>
      <c r="K1188" s="2" t="s">
        <v>1437</v>
      </c>
      <c r="L118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0515-25</v>
      </c>
    </row>
    <row r="1189" spans="1:12" x14ac:dyDescent="0.25">
      <c r="A1189" s="52">
        <v>46022</v>
      </c>
      <c r="B1189" s="27" t="s">
        <v>148</v>
      </c>
      <c r="C1189" s="2" t="s">
        <v>2085</v>
      </c>
      <c r="D1189" s="2">
        <v>1</v>
      </c>
      <c r="E1189" s="27" t="s">
        <v>123</v>
      </c>
      <c r="F1189" t="s">
        <v>15</v>
      </c>
      <c r="G1189" s="47"/>
      <c r="H1189" s="102"/>
      <c r="I1189" s="63"/>
      <c r="J1189" t="s">
        <v>1878</v>
      </c>
      <c r="K1189" s="2" t="s">
        <v>1437</v>
      </c>
      <c r="L118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0519-25</v>
      </c>
    </row>
    <row r="1190" spans="1:12" x14ac:dyDescent="0.25">
      <c r="A1190" s="52">
        <v>46022</v>
      </c>
      <c r="B1190" s="27" t="s">
        <v>148</v>
      </c>
      <c r="C1190" s="2" t="s">
        <v>2086</v>
      </c>
      <c r="D1190" s="2">
        <v>2</v>
      </c>
      <c r="E1190" s="27" t="s">
        <v>123</v>
      </c>
      <c r="F1190" t="s">
        <v>15</v>
      </c>
      <c r="G1190" s="47"/>
      <c r="H1190" s="102"/>
      <c r="I1190" s="63"/>
      <c r="J1190" t="s">
        <v>1878</v>
      </c>
      <c r="K1190" s="2" t="s">
        <v>1437</v>
      </c>
      <c r="L119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0520-25</v>
      </c>
    </row>
    <row r="1191" spans="1:12" x14ac:dyDescent="0.25">
      <c r="A1191" s="52">
        <v>46022</v>
      </c>
      <c r="B1191" s="27" t="s">
        <v>522</v>
      </c>
      <c r="C1191" s="2" t="s">
        <v>2087</v>
      </c>
      <c r="D1191" s="2">
        <v>2</v>
      </c>
      <c r="E1191" s="27" t="s">
        <v>123</v>
      </c>
      <c r="F1191" t="s">
        <v>15</v>
      </c>
      <c r="G1191" s="47"/>
      <c r="H1191" s="102"/>
      <c r="I1191" s="63"/>
      <c r="J1191" t="s">
        <v>1825</v>
      </c>
      <c r="K1191" s="2" t="s">
        <v>1437</v>
      </c>
      <c r="L119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0529-25</v>
      </c>
    </row>
    <row r="1192" spans="1:12" x14ac:dyDescent="0.25">
      <c r="A1192" s="52">
        <v>46022</v>
      </c>
      <c r="B1192" s="27" t="s">
        <v>522</v>
      </c>
      <c r="C1192" s="2" t="s">
        <v>2088</v>
      </c>
      <c r="D1192" s="2">
        <v>1</v>
      </c>
      <c r="E1192" s="27" t="s">
        <v>123</v>
      </c>
      <c r="F1192" t="s">
        <v>15</v>
      </c>
      <c r="G1192" s="47"/>
      <c r="H1192" s="102"/>
      <c r="I1192" s="63"/>
      <c r="J1192" t="s">
        <v>1825</v>
      </c>
      <c r="K1192" s="2" t="s">
        <v>1437</v>
      </c>
      <c r="L119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0530-25</v>
      </c>
    </row>
    <row r="1193" spans="1:12" x14ac:dyDescent="0.25">
      <c r="A1193" s="52">
        <v>46022</v>
      </c>
      <c r="B1193" s="27" t="s">
        <v>522</v>
      </c>
      <c r="C1193" s="2" t="s">
        <v>2089</v>
      </c>
      <c r="D1193" s="2">
        <v>2</v>
      </c>
      <c r="E1193" s="27" t="s">
        <v>123</v>
      </c>
      <c r="F1193" t="s">
        <v>15</v>
      </c>
      <c r="G1193" s="47"/>
      <c r="H1193" s="102"/>
      <c r="I1193" s="63"/>
      <c r="J1193" t="s">
        <v>1825</v>
      </c>
      <c r="K1193" s="2" t="s">
        <v>1437</v>
      </c>
      <c r="L119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0535-25</v>
      </c>
    </row>
    <row r="1194" spans="1:12" x14ac:dyDescent="0.25">
      <c r="A1194" s="52">
        <v>46022</v>
      </c>
      <c r="B1194" s="27" t="s">
        <v>522</v>
      </c>
      <c r="C1194" s="2" t="s">
        <v>2090</v>
      </c>
      <c r="D1194" s="2">
        <v>1</v>
      </c>
      <c r="E1194" s="27" t="s">
        <v>123</v>
      </c>
      <c r="F1194" t="s">
        <v>15</v>
      </c>
      <c r="G1194" s="47"/>
      <c r="H1194" s="102"/>
      <c r="I1194" s="63"/>
      <c r="J1194" t="s">
        <v>1825</v>
      </c>
      <c r="K1194" s="2" t="s">
        <v>1437</v>
      </c>
      <c r="L119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0539-39</v>
      </c>
    </row>
    <row r="1195" spans="1:12" x14ac:dyDescent="0.25">
      <c r="A1195" s="52">
        <v>46022</v>
      </c>
      <c r="B1195" s="27" t="s">
        <v>522</v>
      </c>
      <c r="C1195" s="2" t="s">
        <v>2091</v>
      </c>
      <c r="D1195" s="2">
        <v>2</v>
      </c>
      <c r="E1195" s="27" t="s">
        <v>175</v>
      </c>
      <c r="F1195" t="s">
        <v>390</v>
      </c>
      <c r="G1195" s="47"/>
      <c r="H1195" s="102"/>
      <c r="I1195" s="63"/>
      <c r="J1195" t="s">
        <v>1832</v>
      </c>
      <c r="K1195" s="2" t="s">
        <v>1437</v>
      </c>
      <c r="L119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Transporte Diciembre (17-30)</v>
      </c>
    </row>
    <row r="1196" spans="1:12" x14ac:dyDescent="0.25">
      <c r="A1196" s="52">
        <v>46053</v>
      </c>
      <c r="B1196" s="27" t="s">
        <v>522</v>
      </c>
      <c r="C1196" s="2" t="s">
        <v>2092</v>
      </c>
      <c r="D1196" s="2">
        <v>2</v>
      </c>
      <c r="E1196" s="27" t="s">
        <v>175</v>
      </c>
      <c r="F1196" t="s">
        <v>390</v>
      </c>
      <c r="G1196" s="47"/>
      <c r="H1196" s="102"/>
      <c r="I1196" s="63"/>
      <c r="J1196" t="s">
        <v>1832</v>
      </c>
      <c r="K1196" s="2" t="s">
        <v>1493</v>
      </c>
      <c r="L119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Transporte enero (19-29)</v>
      </c>
    </row>
    <row r="1197" spans="1:12" x14ac:dyDescent="0.25">
      <c r="A1197" s="52">
        <v>46053</v>
      </c>
      <c r="B1197" s="27" t="s">
        <v>522</v>
      </c>
      <c r="C1197" s="2" t="s">
        <v>2093</v>
      </c>
      <c r="D1197" s="2">
        <v>6</v>
      </c>
      <c r="E1197" s="27" t="s">
        <v>123</v>
      </c>
      <c r="F1197" t="s">
        <v>15</v>
      </c>
      <c r="G1197" s="47"/>
      <c r="H1197" s="102"/>
      <c r="I1197" s="63"/>
      <c r="J1197" t="s">
        <v>1825</v>
      </c>
      <c r="K1197" s="2" t="s">
        <v>1493</v>
      </c>
      <c r="L119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0001-26</v>
      </c>
    </row>
    <row r="1198" spans="1:12" x14ac:dyDescent="0.25">
      <c r="A1198" s="52">
        <v>46053</v>
      </c>
      <c r="B1198" s="27" t="s">
        <v>522</v>
      </c>
      <c r="C1198" s="2" t="s">
        <v>2094</v>
      </c>
      <c r="D1198" s="2">
        <v>8</v>
      </c>
      <c r="E1198" s="27" t="s">
        <v>123</v>
      </c>
      <c r="F1198" t="s">
        <v>15</v>
      </c>
      <c r="G1198" s="47"/>
      <c r="H1198" s="102"/>
      <c r="I1198" s="63"/>
      <c r="J1198" t="s">
        <v>1825</v>
      </c>
      <c r="K1198" s="2" t="s">
        <v>1493</v>
      </c>
      <c r="L119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0003-26</v>
      </c>
    </row>
    <row r="1199" spans="1:12" x14ac:dyDescent="0.25">
      <c r="A1199" s="52">
        <v>46053</v>
      </c>
      <c r="B1199" s="27" t="s">
        <v>522</v>
      </c>
      <c r="C1199" s="2" t="s">
        <v>2095</v>
      </c>
      <c r="D1199" s="2">
        <v>2</v>
      </c>
      <c r="E1199" s="27" t="s">
        <v>123</v>
      </c>
      <c r="F1199" t="s">
        <v>15</v>
      </c>
      <c r="G1199" s="47"/>
      <c r="H1199" s="102"/>
      <c r="I1199" s="63"/>
      <c r="J1199" t="s">
        <v>1825</v>
      </c>
      <c r="K1199" s="2" t="s">
        <v>1493</v>
      </c>
      <c r="L119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0004-26</v>
      </c>
    </row>
    <row r="1200" spans="1:12" x14ac:dyDescent="0.25">
      <c r="A1200" s="52">
        <v>46053</v>
      </c>
      <c r="B1200" s="27" t="s">
        <v>522</v>
      </c>
      <c r="C1200" s="2" t="s">
        <v>2096</v>
      </c>
      <c r="D1200" s="2">
        <v>12</v>
      </c>
      <c r="E1200" s="27" t="s">
        <v>123</v>
      </c>
      <c r="F1200" t="s">
        <v>15</v>
      </c>
      <c r="G1200" s="47"/>
      <c r="H1200" s="102"/>
      <c r="I1200" s="63"/>
      <c r="J1200" t="s">
        <v>1825</v>
      </c>
      <c r="K1200" s="2" t="s">
        <v>1493</v>
      </c>
      <c r="L120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0007-26</v>
      </c>
    </row>
    <row r="1201" spans="1:12" x14ac:dyDescent="0.25">
      <c r="A1201" s="52">
        <v>46053</v>
      </c>
      <c r="B1201" s="27" t="s">
        <v>522</v>
      </c>
      <c r="C1201" s="2" t="s">
        <v>2097</v>
      </c>
      <c r="D1201" s="2">
        <v>2</v>
      </c>
      <c r="E1201" s="27" t="s">
        <v>123</v>
      </c>
      <c r="F1201" t="s">
        <v>15</v>
      </c>
      <c r="G1201" s="47"/>
      <c r="H1201" s="102"/>
      <c r="I1201" s="63"/>
      <c r="J1201" t="s">
        <v>1825</v>
      </c>
      <c r="K1201" s="2" t="s">
        <v>1493</v>
      </c>
      <c r="L120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0012-26</v>
      </c>
    </row>
    <row r="1202" spans="1:12" x14ac:dyDescent="0.25">
      <c r="A1202" s="52">
        <v>46053</v>
      </c>
      <c r="B1202" s="27" t="s">
        <v>522</v>
      </c>
      <c r="C1202" s="2" t="s">
        <v>2098</v>
      </c>
      <c r="D1202" s="2">
        <v>2</v>
      </c>
      <c r="E1202" s="27" t="s">
        <v>123</v>
      </c>
      <c r="F1202" t="s">
        <v>15</v>
      </c>
      <c r="G1202" s="47"/>
      <c r="H1202" s="102"/>
      <c r="I1202" s="63"/>
      <c r="J1202" t="s">
        <v>1825</v>
      </c>
      <c r="K1202" s="2" t="s">
        <v>1493</v>
      </c>
      <c r="L120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0014-26</v>
      </c>
    </row>
    <row r="1203" spans="1:12" x14ac:dyDescent="0.25">
      <c r="A1203" s="52">
        <v>46053</v>
      </c>
      <c r="B1203" s="27" t="s">
        <v>522</v>
      </c>
      <c r="C1203" s="2" t="s">
        <v>2099</v>
      </c>
      <c r="D1203" s="2">
        <v>2</v>
      </c>
      <c r="E1203" s="27" t="s">
        <v>123</v>
      </c>
      <c r="F1203" t="s">
        <v>15</v>
      </c>
      <c r="G1203" s="47"/>
      <c r="H1203" s="102"/>
      <c r="I1203" s="63"/>
      <c r="J1203" t="s">
        <v>1825</v>
      </c>
      <c r="K1203" s="2" t="s">
        <v>1493</v>
      </c>
      <c r="L120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0015-26</v>
      </c>
    </row>
    <row r="1204" spans="1:12" x14ac:dyDescent="0.25">
      <c r="A1204" s="52">
        <v>46053</v>
      </c>
      <c r="B1204" s="27" t="s">
        <v>522</v>
      </c>
      <c r="C1204" s="2" t="s">
        <v>2100</v>
      </c>
      <c r="D1204" s="2">
        <v>12</v>
      </c>
      <c r="E1204" s="27" t="s">
        <v>123</v>
      </c>
      <c r="F1204" t="s">
        <v>15</v>
      </c>
      <c r="G1204" s="47"/>
      <c r="H1204" s="102"/>
      <c r="I1204" s="63"/>
      <c r="J1204" t="s">
        <v>1825</v>
      </c>
      <c r="K1204" s="2" t="s">
        <v>1493</v>
      </c>
      <c r="L120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0016-26</v>
      </c>
    </row>
    <row r="1205" spans="1:12" x14ac:dyDescent="0.25">
      <c r="A1205" s="52">
        <v>46053</v>
      </c>
      <c r="B1205" s="27" t="s">
        <v>522</v>
      </c>
      <c r="C1205" s="2" t="s">
        <v>2101</v>
      </c>
      <c r="D1205" s="2">
        <v>2</v>
      </c>
      <c r="E1205" s="27" t="s">
        <v>123</v>
      </c>
      <c r="F1205" t="s">
        <v>15</v>
      </c>
      <c r="G1205" s="47"/>
      <c r="H1205" s="102"/>
      <c r="I1205" s="63"/>
      <c r="J1205" t="s">
        <v>1825</v>
      </c>
      <c r="K1205" s="2" t="s">
        <v>1493</v>
      </c>
      <c r="L120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0017-26</v>
      </c>
    </row>
    <row r="1206" spans="1:12" x14ac:dyDescent="0.25">
      <c r="A1206" s="52">
        <v>46081</v>
      </c>
      <c r="B1206" s="27" t="s">
        <v>522</v>
      </c>
      <c r="C1206" s="2" t="s">
        <v>2102</v>
      </c>
      <c r="D1206" s="2">
        <v>4</v>
      </c>
      <c r="E1206" s="27" t="s">
        <v>175</v>
      </c>
      <c r="F1206" t="s">
        <v>390</v>
      </c>
      <c r="G1206" s="47"/>
      <c r="H1206" s="102"/>
      <c r="I1206" s="63"/>
      <c r="J1206" t="s">
        <v>1832</v>
      </c>
      <c r="K1206" s="2" t="s">
        <v>1509</v>
      </c>
      <c r="L120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TRANSPORTE FEBRERO (05-12-18-24)</v>
      </c>
    </row>
    <row r="1207" spans="1:12" x14ac:dyDescent="0.25">
      <c r="A1207" s="52">
        <v>46081</v>
      </c>
      <c r="B1207" s="27" t="s">
        <v>522</v>
      </c>
      <c r="C1207" s="2" t="s">
        <v>2103</v>
      </c>
      <c r="D1207" s="2">
        <v>2</v>
      </c>
      <c r="E1207" s="27" t="s">
        <v>123</v>
      </c>
      <c r="F1207" t="s">
        <v>15</v>
      </c>
      <c r="G1207" s="47"/>
      <c r="H1207" s="102"/>
      <c r="I1207" s="63"/>
      <c r="J1207" t="s">
        <v>1825</v>
      </c>
      <c r="K1207" s="2" t="s">
        <v>1509</v>
      </c>
      <c r="L120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0018-26</v>
      </c>
    </row>
    <row r="1208" spans="1:12" x14ac:dyDescent="0.25">
      <c r="A1208" s="52">
        <v>46081</v>
      </c>
      <c r="B1208" s="27" t="s">
        <v>522</v>
      </c>
      <c r="C1208" s="2" t="s">
        <v>2104</v>
      </c>
      <c r="D1208" s="2">
        <v>2</v>
      </c>
      <c r="E1208" s="27" t="s">
        <v>123</v>
      </c>
      <c r="F1208" t="s">
        <v>15</v>
      </c>
      <c r="G1208" s="47"/>
      <c r="H1208" s="102"/>
      <c r="I1208" s="63"/>
      <c r="J1208" t="s">
        <v>1825</v>
      </c>
      <c r="K1208" s="2" t="s">
        <v>1509</v>
      </c>
      <c r="L120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0019-26</v>
      </c>
    </row>
    <row r="1209" spans="1:12" x14ac:dyDescent="0.25">
      <c r="A1209" s="52">
        <v>46081</v>
      </c>
      <c r="B1209" s="27" t="s">
        <v>522</v>
      </c>
      <c r="C1209" s="2" t="s">
        <v>2105</v>
      </c>
      <c r="D1209" s="2">
        <v>2</v>
      </c>
      <c r="E1209" s="27" t="s">
        <v>123</v>
      </c>
      <c r="F1209" t="s">
        <v>15</v>
      </c>
      <c r="G1209" s="47"/>
      <c r="H1209" s="102"/>
      <c r="I1209" s="63"/>
      <c r="J1209" t="s">
        <v>1825</v>
      </c>
      <c r="K1209" s="2" t="s">
        <v>1509</v>
      </c>
      <c r="L120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0020-26</v>
      </c>
    </row>
    <row r="1210" spans="1:12" x14ac:dyDescent="0.25">
      <c r="A1210" s="52">
        <v>46081</v>
      </c>
      <c r="B1210" s="27" t="s">
        <v>522</v>
      </c>
      <c r="C1210" s="2" t="s">
        <v>2106</v>
      </c>
      <c r="D1210" s="2">
        <v>11</v>
      </c>
      <c r="E1210" s="27" t="s">
        <v>123</v>
      </c>
      <c r="F1210" t="s">
        <v>15</v>
      </c>
      <c r="G1210" s="47"/>
      <c r="H1210" s="102"/>
      <c r="I1210" s="63"/>
      <c r="J1210" t="s">
        <v>1825</v>
      </c>
      <c r="K1210" s="2" t="s">
        <v>1509</v>
      </c>
      <c r="L121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0024-26</v>
      </c>
    </row>
    <row r="1211" spans="1:12" x14ac:dyDescent="0.25">
      <c r="A1211" s="52">
        <v>46081</v>
      </c>
      <c r="B1211" s="27" t="s">
        <v>522</v>
      </c>
      <c r="C1211" s="2" t="s">
        <v>2107</v>
      </c>
      <c r="D1211" s="2">
        <v>7</v>
      </c>
      <c r="E1211" s="27" t="s">
        <v>123</v>
      </c>
      <c r="F1211" t="s">
        <v>15</v>
      </c>
      <c r="G1211" s="47"/>
      <c r="H1211" s="102"/>
      <c r="I1211" s="63"/>
      <c r="J1211" t="s">
        <v>1825</v>
      </c>
      <c r="K1211" s="2" t="s">
        <v>1509</v>
      </c>
      <c r="L12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0025-26</v>
      </c>
    </row>
    <row r="1212" spans="1:12" x14ac:dyDescent="0.25">
      <c r="A1212" s="52">
        <v>46081</v>
      </c>
      <c r="B1212" s="27" t="s">
        <v>522</v>
      </c>
      <c r="C1212" s="2" t="s">
        <v>2108</v>
      </c>
      <c r="D1212" s="2">
        <v>4</v>
      </c>
      <c r="E1212" s="27" t="s">
        <v>123</v>
      </c>
      <c r="F1212" t="s">
        <v>15</v>
      </c>
      <c r="G1212" s="47"/>
      <c r="H1212" s="102"/>
      <c r="I1212" s="63"/>
      <c r="J1212" t="s">
        <v>1825</v>
      </c>
      <c r="K1212" s="2" t="s">
        <v>1509</v>
      </c>
      <c r="L121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0026-26</v>
      </c>
    </row>
    <row r="1213" spans="1:12" x14ac:dyDescent="0.25">
      <c r="A1213" s="52">
        <v>46081</v>
      </c>
      <c r="B1213" s="27" t="s">
        <v>522</v>
      </c>
      <c r="C1213" s="2" t="s">
        <v>2109</v>
      </c>
      <c r="D1213" s="2">
        <v>12</v>
      </c>
      <c r="E1213" s="27" t="s">
        <v>123</v>
      </c>
      <c r="F1213" t="s">
        <v>15</v>
      </c>
      <c r="G1213" s="47"/>
      <c r="H1213" s="102"/>
      <c r="I1213" s="63"/>
      <c r="J1213" t="s">
        <v>1825</v>
      </c>
      <c r="K1213" s="2" t="s">
        <v>1509</v>
      </c>
      <c r="L121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0027-26</v>
      </c>
    </row>
    <row r="1214" spans="1:12" x14ac:dyDescent="0.25">
      <c r="A1214" s="52">
        <v>46081</v>
      </c>
      <c r="B1214" s="27" t="s">
        <v>522</v>
      </c>
      <c r="C1214" s="2" t="s">
        <v>2110</v>
      </c>
      <c r="D1214" s="2">
        <v>2</v>
      </c>
      <c r="E1214" s="27" t="s">
        <v>123</v>
      </c>
      <c r="F1214" t="s">
        <v>15</v>
      </c>
      <c r="G1214" s="47"/>
      <c r="H1214" s="102"/>
      <c r="I1214" s="63"/>
      <c r="J1214" t="s">
        <v>1825</v>
      </c>
      <c r="K1214" s="2" t="s">
        <v>1509</v>
      </c>
      <c r="L121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0028-26</v>
      </c>
    </row>
    <row r="1215" spans="1:12" x14ac:dyDescent="0.25">
      <c r="A1215" s="52">
        <v>46081</v>
      </c>
      <c r="B1215" s="27" t="s">
        <v>522</v>
      </c>
      <c r="C1215" s="2" t="s">
        <v>2111</v>
      </c>
      <c r="D1215" s="2">
        <v>8</v>
      </c>
      <c r="E1215" s="27" t="s">
        <v>123</v>
      </c>
      <c r="F1215" t="s">
        <v>15</v>
      </c>
      <c r="G1215" s="47"/>
      <c r="H1215" s="102"/>
      <c r="I1215" s="63"/>
      <c r="J1215" t="s">
        <v>1825</v>
      </c>
      <c r="K1215" s="2" t="s">
        <v>1509</v>
      </c>
      <c r="L121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0029-26</v>
      </c>
    </row>
    <row r="1216" spans="1:12" x14ac:dyDescent="0.25">
      <c r="A1216" s="52">
        <v>46081</v>
      </c>
      <c r="B1216" s="27" t="s">
        <v>522</v>
      </c>
      <c r="C1216" s="2" t="s">
        <v>2112</v>
      </c>
      <c r="D1216" s="2">
        <v>3</v>
      </c>
      <c r="E1216" s="27" t="s">
        <v>123</v>
      </c>
      <c r="F1216" t="s">
        <v>15</v>
      </c>
      <c r="G1216" s="47"/>
      <c r="H1216" s="102"/>
      <c r="I1216" s="63"/>
      <c r="J1216" t="s">
        <v>1825</v>
      </c>
      <c r="K1216" s="2" t="s">
        <v>1509</v>
      </c>
      <c r="L121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0030-26</v>
      </c>
    </row>
    <row r="1217" spans="1:12" x14ac:dyDescent="0.25">
      <c r="A1217" s="52">
        <v>46081</v>
      </c>
      <c r="B1217" s="27" t="s">
        <v>522</v>
      </c>
      <c r="C1217" s="2" t="s">
        <v>2113</v>
      </c>
      <c r="D1217" s="2">
        <v>2</v>
      </c>
      <c r="E1217" s="27" t="s">
        <v>123</v>
      </c>
      <c r="F1217" t="s">
        <v>15</v>
      </c>
      <c r="G1217" s="47"/>
      <c r="H1217" s="102"/>
      <c r="I1217" s="63"/>
      <c r="J1217" t="s">
        <v>1825</v>
      </c>
      <c r="K1217" s="2" t="s">
        <v>1509</v>
      </c>
      <c r="L121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0031-26</v>
      </c>
    </row>
    <row r="1218" spans="1:12" x14ac:dyDescent="0.25">
      <c r="A1218" s="52">
        <v>46081</v>
      </c>
      <c r="B1218" s="27" t="s">
        <v>522</v>
      </c>
      <c r="C1218" s="2" t="s">
        <v>2114</v>
      </c>
      <c r="D1218" s="2">
        <v>2</v>
      </c>
      <c r="E1218" s="27" t="s">
        <v>123</v>
      </c>
      <c r="F1218" t="s">
        <v>15</v>
      </c>
      <c r="G1218" s="47"/>
      <c r="H1218" s="102"/>
      <c r="I1218" s="63"/>
      <c r="J1218" t="s">
        <v>1825</v>
      </c>
      <c r="K1218" s="2" t="s">
        <v>1509</v>
      </c>
      <c r="L121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0032-26</v>
      </c>
    </row>
    <row r="1219" spans="1:12" x14ac:dyDescent="0.25">
      <c r="A1219" s="52">
        <v>46081</v>
      </c>
      <c r="B1219" s="27" t="s">
        <v>522</v>
      </c>
      <c r="C1219" s="2" t="s">
        <v>2115</v>
      </c>
      <c r="D1219" s="2">
        <v>14</v>
      </c>
      <c r="E1219" s="27" t="s">
        <v>123</v>
      </c>
      <c r="F1219" t="s">
        <v>15</v>
      </c>
      <c r="G1219" s="47"/>
      <c r="H1219" s="102"/>
      <c r="I1219" s="63"/>
      <c r="J1219" t="s">
        <v>1825</v>
      </c>
      <c r="K1219" s="2" t="s">
        <v>1509</v>
      </c>
      <c r="L121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0033-26</v>
      </c>
    </row>
    <row r="1220" spans="1:12" x14ac:dyDescent="0.25">
      <c r="A1220" s="52">
        <v>46081</v>
      </c>
      <c r="B1220" s="27" t="s">
        <v>522</v>
      </c>
      <c r="C1220" s="2" t="s">
        <v>2116</v>
      </c>
      <c r="D1220" s="2">
        <v>9</v>
      </c>
      <c r="E1220" s="27" t="s">
        <v>123</v>
      </c>
      <c r="F1220" t="s">
        <v>15</v>
      </c>
      <c r="G1220" s="47"/>
      <c r="H1220" s="102"/>
      <c r="I1220" s="63"/>
      <c r="J1220" t="s">
        <v>1825</v>
      </c>
      <c r="K1220" s="2" t="s">
        <v>1509</v>
      </c>
      <c r="L122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0034-26</v>
      </c>
    </row>
    <row r="1221" spans="1:12" x14ac:dyDescent="0.25">
      <c r="A1221" s="52">
        <v>46081</v>
      </c>
      <c r="B1221" s="27" t="s">
        <v>522</v>
      </c>
      <c r="C1221" s="2" t="s">
        <v>2117</v>
      </c>
      <c r="D1221" s="2">
        <v>4</v>
      </c>
      <c r="E1221" s="27" t="s">
        <v>123</v>
      </c>
      <c r="F1221" t="s">
        <v>15</v>
      </c>
      <c r="G1221" s="47"/>
      <c r="H1221" s="102"/>
      <c r="I1221" s="63"/>
      <c r="J1221" t="s">
        <v>1825</v>
      </c>
      <c r="K1221" s="2" t="s">
        <v>1509</v>
      </c>
      <c r="L122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0035-26</v>
      </c>
    </row>
    <row r="1222" spans="1:12" x14ac:dyDescent="0.25">
      <c r="A1222" s="52">
        <v>46081</v>
      </c>
      <c r="B1222" s="27" t="s">
        <v>522</v>
      </c>
      <c r="C1222" s="2" t="s">
        <v>2118</v>
      </c>
      <c r="D1222" s="2">
        <v>3</v>
      </c>
      <c r="E1222" s="27" t="s">
        <v>123</v>
      </c>
      <c r="F1222" t="s">
        <v>15</v>
      </c>
      <c r="G1222" s="47"/>
      <c r="H1222" s="102"/>
      <c r="I1222" s="63"/>
      <c r="J1222" t="s">
        <v>1825</v>
      </c>
      <c r="K1222" s="2" t="s">
        <v>1509</v>
      </c>
      <c r="L122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0036-26</v>
      </c>
    </row>
    <row r="1223" spans="1:12" x14ac:dyDescent="0.25">
      <c r="A1223" s="52">
        <v>46081</v>
      </c>
      <c r="B1223" s="27" t="s">
        <v>522</v>
      </c>
      <c r="C1223" s="2" t="s">
        <v>2119</v>
      </c>
      <c r="D1223" s="2">
        <v>2</v>
      </c>
      <c r="E1223" s="27" t="s">
        <v>123</v>
      </c>
      <c r="F1223" t="s">
        <v>15</v>
      </c>
      <c r="G1223" s="47"/>
      <c r="H1223" s="102"/>
      <c r="I1223" s="63"/>
      <c r="J1223" t="s">
        <v>1825</v>
      </c>
      <c r="K1223" s="2" t="s">
        <v>1509</v>
      </c>
      <c r="L122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0037-26</v>
      </c>
    </row>
    <row r="1224" spans="1:12" x14ac:dyDescent="0.25">
      <c r="A1224" s="52">
        <v>46112</v>
      </c>
      <c r="B1224" s="27" t="s">
        <v>148</v>
      </c>
      <c r="C1224" s="2" t="s">
        <v>2120</v>
      </c>
      <c r="D1224" s="2">
        <v>1</v>
      </c>
      <c r="E1224" s="27" t="s">
        <v>139</v>
      </c>
      <c r="F1224" t="s">
        <v>468</v>
      </c>
      <c r="G1224" s="47"/>
      <c r="H1224" s="102"/>
      <c r="I1224" s="63"/>
      <c r="J1224" t="s">
        <v>1821</v>
      </c>
      <c r="K1224" s="2" t="s">
        <v>1525</v>
      </c>
      <c r="L122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0050-26</v>
      </c>
    </row>
    <row r="1225" spans="1:12" x14ac:dyDescent="0.25">
      <c r="A1225" s="52">
        <v>46112</v>
      </c>
      <c r="B1225" s="27" t="s">
        <v>148</v>
      </c>
      <c r="C1225" s="2" t="s">
        <v>2121</v>
      </c>
      <c r="D1225" s="2">
        <v>2</v>
      </c>
      <c r="E1225" s="27" t="s">
        <v>123</v>
      </c>
      <c r="F1225" t="s">
        <v>15</v>
      </c>
      <c r="G1225" s="47"/>
      <c r="H1225" s="102"/>
      <c r="I1225" s="63"/>
      <c r="J1225" t="s">
        <v>1878</v>
      </c>
      <c r="K1225" s="2" t="s">
        <v>1525</v>
      </c>
      <c r="L122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0039-26</v>
      </c>
    </row>
    <row r="1226" spans="1:12" x14ac:dyDescent="0.25">
      <c r="A1226" s="52">
        <v>46112</v>
      </c>
      <c r="B1226" s="27" t="s">
        <v>148</v>
      </c>
      <c r="C1226" s="2" t="s">
        <v>2122</v>
      </c>
      <c r="D1226" s="2">
        <v>2</v>
      </c>
      <c r="E1226" s="27" t="s">
        <v>123</v>
      </c>
      <c r="F1226" t="s">
        <v>15</v>
      </c>
      <c r="G1226" s="47"/>
      <c r="H1226" s="102"/>
      <c r="I1226" s="63"/>
      <c r="J1226" t="s">
        <v>1878</v>
      </c>
      <c r="K1226" s="2" t="s">
        <v>1525</v>
      </c>
      <c r="L122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0041-26</v>
      </c>
    </row>
    <row r="1227" spans="1:12" x14ac:dyDescent="0.25">
      <c r="A1227" s="52">
        <v>46112</v>
      </c>
      <c r="B1227" s="27" t="s">
        <v>148</v>
      </c>
      <c r="C1227" s="2" t="s">
        <v>2123</v>
      </c>
      <c r="D1227" s="2">
        <v>2</v>
      </c>
      <c r="E1227" s="27" t="s">
        <v>123</v>
      </c>
      <c r="F1227" t="s">
        <v>15</v>
      </c>
      <c r="G1227" s="47"/>
      <c r="H1227" s="102"/>
      <c r="I1227" s="63"/>
      <c r="J1227" t="s">
        <v>1878</v>
      </c>
      <c r="K1227" s="2" t="s">
        <v>1525</v>
      </c>
      <c r="L122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0043-26</v>
      </c>
    </row>
    <row r="1228" spans="1:12" x14ac:dyDescent="0.25">
      <c r="A1228" s="52">
        <v>46112</v>
      </c>
      <c r="B1228" s="27" t="s">
        <v>148</v>
      </c>
      <c r="C1228" s="2" t="s">
        <v>2124</v>
      </c>
      <c r="D1228" s="2">
        <v>1</v>
      </c>
      <c r="E1228" s="27" t="s">
        <v>139</v>
      </c>
      <c r="F1228" t="s">
        <v>468</v>
      </c>
      <c r="G1228" s="47"/>
      <c r="H1228" s="102"/>
      <c r="I1228" s="63"/>
      <c r="J1228" t="s">
        <v>1821</v>
      </c>
      <c r="K1228" s="2" t="s">
        <v>1525</v>
      </c>
      <c r="L122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0051-26</v>
      </c>
    </row>
    <row r="1229" spans="1:12" x14ac:dyDescent="0.25">
      <c r="A1229" s="52">
        <v>46112</v>
      </c>
      <c r="B1229" s="27" t="s">
        <v>148</v>
      </c>
      <c r="C1229" s="2" t="s">
        <v>2125</v>
      </c>
      <c r="D1229" s="2">
        <v>1</v>
      </c>
      <c r="E1229" s="27" t="s">
        <v>166</v>
      </c>
      <c r="F1229" t="s">
        <v>44</v>
      </c>
      <c r="G1229" s="47"/>
      <c r="H1229" s="102"/>
      <c r="I1229" s="63"/>
      <c r="J1229" t="s">
        <v>1822</v>
      </c>
      <c r="K1229" s="2" t="s">
        <v>1525</v>
      </c>
      <c r="L122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0052-26</v>
      </c>
    </row>
    <row r="1230" spans="1:12" x14ac:dyDescent="0.25">
      <c r="A1230" s="52">
        <v>46112</v>
      </c>
      <c r="B1230" s="27" t="s">
        <v>522</v>
      </c>
      <c r="C1230" s="2" t="s">
        <v>2126</v>
      </c>
      <c r="D1230" s="2">
        <v>6</v>
      </c>
      <c r="E1230" s="27" t="s">
        <v>123</v>
      </c>
      <c r="F1230" t="s">
        <v>15</v>
      </c>
      <c r="G1230" s="47"/>
      <c r="H1230" s="102"/>
      <c r="I1230" s="63"/>
      <c r="J1230" t="s">
        <v>1825</v>
      </c>
      <c r="K1230" s="2" t="s">
        <v>1525</v>
      </c>
      <c r="L123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0040-26</v>
      </c>
    </row>
    <row r="1231" spans="1:12" x14ac:dyDescent="0.25">
      <c r="A1231" s="52">
        <v>46112</v>
      </c>
      <c r="B1231" s="27" t="s">
        <v>522</v>
      </c>
      <c r="C1231" s="2" t="s">
        <v>2127</v>
      </c>
      <c r="D1231" s="2">
        <v>15</v>
      </c>
      <c r="E1231" s="27" t="s">
        <v>123</v>
      </c>
      <c r="F1231" t="s">
        <v>15</v>
      </c>
      <c r="G1231" s="47"/>
      <c r="H1231" s="102"/>
      <c r="I1231" s="63"/>
      <c r="J1231" t="s">
        <v>1825</v>
      </c>
      <c r="K1231" s="2" t="s">
        <v>1525</v>
      </c>
      <c r="L123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0042-26</v>
      </c>
    </row>
    <row r="1232" spans="1:12" x14ac:dyDescent="0.25">
      <c r="A1232" s="52">
        <v>46112</v>
      </c>
      <c r="B1232" s="27" t="s">
        <v>522</v>
      </c>
      <c r="C1232" s="2" t="s">
        <v>2128</v>
      </c>
      <c r="D1232" s="2">
        <v>7</v>
      </c>
      <c r="E1232" s="27" t="s">
        <v>123</v>
      </c>
      <c r="F1232" t="s">
        <v>15</v>
      </c>
      <c r="G1232" s="47"/>
      <c r="H1232" s="102"/>
      <c r="I1232" s="63"/>
      <c r="J1232" t="s">
        <v>1825</v>
      </c>
      <c r="K1232" s="2" t="s">
        <v>1525</v>
      </c>
      <c r="L123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0044-26</v>
      </c>
    </row>
    <row r="1233" spans="1:12" x14ac:dyDescent="0.25">
      <c r="A1233" s="52">
        <v>46112</v>
      </c>
      <c r="B1233" s="27" t="s">
        <v>522</v>
      </c>
      <c r="C1233" s="2" t="s">
        <v>2129</v>
      </c>
      <c r="D1233" s="2">
        <v>3</v>
      </c>
      <c r="E1233" s="27" t="s">
        <v>123</v>
      </c>
      <c r="F1233" t="s">
        <v>15</v>
      </c>
      <c r="G1233" s="47"/>
      <c r="H1233" s="102"/>
      <c r="I1233" s="63"/>
      <c r="J1233" t="s">
        <v>1825</v>
      </c>
      <c r="K1233" s="2" t="s">
        <v>1525</v>
      </c>
      <c r="L123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0045-26</v>
      </c>
    </row>
    <row r="1234" spans="1:12" x14ac:dyDescent="0.25">
      <c r="A1234" s="52">
        <v>46112</v>
      </c>
      <c r="B1234" s="27" t="s">
        <v>522</v>
      </c>
      <c r="C1234" s="2" t="s">
        <v>2130</v>
      </c>
      <c r="D1234" s="2">
        <v>2</v>
      </c>
      <c r="E1234" s="27" t="s">
        <v>123</v>
      </c>
      <c r="F1234" t="s">
        <v>15</v>
      </c>
      <c r="G1234" s="47"/>
      <c r="H1234" s="102"/>
      <c r="I1234" s="63"/>
      <c r="J1234" t="s">
        <v>1825</v>
      </c>
      <c r="K1234" s="2" t="s">
        <v>1525</v>
      </c>
      <c r="L123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0047-26</v>
      </c>
    </row>
    <row r="1235" spans="1:12" x14ac:dyDescent="0.25">
      <c r="A1235" s="52">
        <v>46112</v>
      </c>
      <c r="B1235" s="27" t="s">
        <v>522</v>
      </c>
      <c r="C1235" s="2" t="s">
        <v>2131</v>
      </c>
      <c r="D1235" s="2">
        <v>18</v>
      </c>
      <c r="E1235" s="27" t="s">
        <v>123</v>
      </c>
      <c r="F1235" t="s">
        <v>15</v>
      </c>
      <c r="G1235" s="47"/>
      <c r="H1235" s="102"/>
      <c r="I1235" s="63"/>
      <c r="J1235" t="s">
        <v>1825</v>
      </c>
      <c r="K1235" s="2" t="s">
        <v>1525</v>
      </c>
      <c r="L123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0048-26</v>
      </c>
    </row>
    <row r="1236" spans="1:12" x14ac:dyDescent="0.25">
      <c r="A1236" s="52">
        <v>46112</v>
      </c>
      <c r="B1236" s="27" t="s">
        <v>522</v>
      </c>
      <c r="C1236" s="2" t="s">
        <v>2132</v>
      </c>
      <c r="D1236" s="2">
        <v>2</v>
      </c>
      <c r="E1236" s="27" t="s">
        <v>123</v>
      </c>
      <c r="F1236" t="s">
        <v>15</v>
      </c>
      <c r="G1236" s="47"/>
      <c r="H1236" s="102"/>
      <c r="I1236" s="63"/>
      <c r="J1236" t="s">
        <v>1825</v>
      </c>
      <c r="K1236" s="2" t="s">
        <v>1525</v>
      </c>
      <c r="L123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0053-26</v>
      </c>
    </row>
    <row r="1237" spans="1:12" x14ac:dyDescent="0.25">
      <c r="A1237" s="52">
        <v>46112</v>
      </c>
      <c r="B1237" s="27" t="s">
        <v>522</v>
      </c>
      <c r="C1237" s="2" t="s">
        <v>2133</v>
      </c>
      <c r="D1237" s="2">
        <v>2</v>
      </c>
      <c r="E1237" s="27" t="s">
        <v>123</v>
      </c>
      <c r="F1237" t="s">
        <v>15</v>
      </c>
      <c r="G1237" s="47"/>
      <c r="H1237" s="102"/>
      <c r="I1237" s="63"/>
      <c r="J1237" t="s">
        <v>1825</v>
      </c>
      <c r="K1237" s="2" t="s">
        <v>1525</v>
      </c>
      <c r="L123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0055-26</v>
      </c>
    </row>
    <row r="1238" spans="1:12" x14ac:dyDescent="0.25">
      <c r="A1238" s="52">
        <v>46112</v>
      </c>
      <c r="B1238" s="27" t="s">
        <v>522</v>
      </c>
      <c r="C1238" s="2" t="s">
        <v>2134</v>
      </c>
      <c r="D1238" s="2">
        <v>13</v>
      </c>
      <c r="E1238" s="27" t="s">
        <v>123</v>
      </c>
      <c r="F1238" t="s">
        <v>15</v>
      </c>
      <c r="G1238" s="47"/>
      <c r="H1238" s="102"/>
      <c r="I1238" s="63"/>
      <c r="J1238" t="s">
        <v>1825</v>
      </c>
      <c r="K1238" s="2" t="s">
        <v>1525</v>
      </c>
      <c r="L123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0056-26</v>
      </c>
    </row>
    <row r="1239" spans="1:12" x14ac:dyDescent="0.25">
      <c r="A1239" s="52">
        <v>46112</v>
      </c>
      <c r="B1239" s="27" t="s">
        <v>522</v>
      </c>
      <c r="C1239" s="2" t="s">
        <v>2135</v>
      </c>
      <c r="D1239" s="2">
        <v>3</v>
      </c>
      <c r="E1239" s="27" t="s">
        <v>123</v>
      </c>
      <c r="F1239" t="s">
        <v>15</v>
      </c>
      <c r="G1239" s="47"/>
      <c r="H1239" s="102"/>
      <c r="I1239" s="63"/>
      <c r="J1239" t="s">
        <v>1825</v>
      </c>
      <c r="K1239" s="2" t="s">
        <v>1525</v>
      </c>
      <c r="L123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0058-26</v>
      </c>
    </row>
    <row r="1240" spans="1:12" x14ac:dyDescent="0.25">
      <c r="A1240" s="52">
        <v>46112</v>
      </c>
      <c r="B1240" s="27" t="s">
        <v>522</v>
      </c>
      <c r="C1240" s="2" t="s">
        <v>2136</v>
      </c>
      <c r="D1240" s="2">
        <v>4</v>
      </c>
      <c r="E1240" s="27" t="s">
        <v>123</v>
      </c>
      <c r="F1240" t="s">
        <v>15</v>
      </c>
      <c r="G1240" s="47"/>
      <c r="H1240" s="102"/>
      <c r="I1240" s="63"/>
      <c r="J1240" t="s">
        <v>1825</v>
      </c>
      <c r="K1240" s="2" t="s">
        <v>1525</v>
      </c>
      <c r="L124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0059-26</v>
      </c>
    </row>
    <row r="1241" spans="1:12" x14ac:dyDescent="0.25">
      <c r="A1241" s="52">
        <v>46112</v>
      </c>
      <c r="B1241" s="27" t="s">
        <v>522</v>
      </c>
      <c r="C1241" s="2" t="s">
        <v>2137</v>
      </c>
      <c r="D1241" s="2">
        <v>10</v>
      </c>
      <c r="E1241" s="27" t="s">
        <v>123</v>
      </c>
      <c r="F1241" t="s">
        <v>15</v>
      </c>
      <c r="G1241" s="47"/>
      <c r="H1241" s="102"/>
      <c r="I1241" s="63"/>
      <c r="J1241" t="s">
        <v>1825</v>
      </c>
      <c r="K1241" s="2" t="s">
        <v>1525</v>
      </c>
      <c r="L124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0060-26</v>
      </c>
    </row>
    <row r="1242" spans="1:12" x14ac:dyDescent="0.25">
      <c r="A1242" s="52">
        <v>46112</v>
      </c>
      <c r="B1242" s="27" t="s">
        <v>522</v>
      </c>
      <c r="C1242" s="2" t="s">
        <v>2138</v>
      </c>
      <c r="D1242" s="2">
        <v>3</v>
      </c>
      <c r="E1242" s="27" t="s">
        <v>123</v>
      </c>
      <c r="F1242" t="s">
        <v>15</v>
      </c>
      <c r="G1242" s="47"/>
      <c r="H1242" s="102"/>
      <c r="I1242" s="63"/>
      <c r="J1242" t="s">
        <v>1825</v>
      </c>
      <c r="K1242" s="2" t="s">
        <v>1525</v>
      </c>
      <c r="L124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0061-26</v>
      </c>
    </row>
    <row r="1243" spans="1:12" x14ac:dyDescent="0.25">
      <c r="A1243" s="52">
        <v>46112</v>
      </c>
      <c r="B1243" s="27" t="s">
        <v>522</v>
      </c>
      <c r="C1243" s="2" t="s">
        <v>2139</v>
      </c>
      <c r="D1243" s="2">
        <v>9</v>
      </c>
      <c r="E1243" s="27" t="s">
        <v>123</v>
      </c>
      <c r="F1243" t="s">
        <v>15</v>
      </c>
      <c r="G1243" s="47"/>
      <c r="H1243" s="102"/>
      <c r="I1243" s="63"/>
      <c r="J1243" t="s">
        <v>1825</v>
      </c>
      <c r="K1243" s="2" t="s">
        <v>1525</v>
      </c>
      <c r="L124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0062-26</v>
      </c>
    </row>
    <row r="1244" spans="1:12" x14ac:dyDescent="0.25">
      <c r="A1244" s="52">
        <v>46112</v>
      </c>
      <c r="B1244" s="27" t="s">
        <v>522</v>
      </c>
      <c r="C1244" s="2" t="s">
        <v>2140</v>
      </c>
      <c r="D1244" s="2">
        <v>2</v>
      </c>
      <c r="E1244" s="27" t="s">
        <v>123</v>
      </c>
      <c r="F1244" t="s">
        <v>15</v>
      </c>
      <c r="G1244" s="47"/>
      <c r="H1244" s="102"/>
      <c r="I1244" s="63"/>
      <c r="J1244" t="s">
        <v>1825</v>
      </c>
      <c r="K1244" s="2" t="s">
        <v>1525</v>
      </c>
      <c r="L124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0063-26</v>
      </c>
    </row>
    <row r="1245" spans="1:12" x14ac:dyDescent="0.25">
      <c r="A1245" s="52">
        <v>46112</v>
      </c>
      <c r="B1245" s="27" t="s">
        <v>522</v>
      </c>
      <c r="C1245" s="2" t="s">
        <v>2141</v>
      </c>
      <c r="D1245" s="2">
        <v>3</v>
      </c>
      <c r="E1245" s="27" t="s">
        <v>123</v>
      </c>
      <c r="F1245" t="s">
        <v>15</v>
      </c>
      <c r="G1245" s="47"/>
      <c r="H1245" s="102"/>
      <c r="I1245" s="63"/>
      <c r="J1245" t="s">
        <v>1825</v>
      </c>
      <c r="K1245" s="2" t="s">
        <v>1525</v>
      </c>
      <c r="L124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0064-26</v>
      </c>
    </row>
    <row r="1246" spans="1:12" x14ac:dyDescent="0.25">
      <c r="A1246" s="52">
        <v>46112</v>
      </c>
      <c r="B1246" s="27" t="s">
        <v>522</v>
      </c>
      <c r="C1246" s="2" t="s">
        <v>2142</v>
      </c>
      <c r="D1246" s="2">
        <v>4</v>
      </c>
      <c r="E1246" s="27" t="s">
        <v>123</v>
      </c>
      <c r="F1246" t="s">
        <v>15</v>
      </c>
      <c r="G1246" s="47"/>
      <c r="H1246" s="102"/>
      <c r="I1246" s="63"/>
      <c r="J1246" t="s">
        <v>1825</v>
      </c>
      <c r="K1246" s="2" t="s">
        <v>1525</v>
      </c>
      <c r="L124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0065-26</v>
      </c>
    </row>
    <row r="1247" spans="1:12" x14ac:dyDescent="0.25">
      <c r="A1247" s="52">
        <v>46112</v>
      </c>
      <c r="B1247" s="27" t="s">
        <v>522</v>
      </c>
      <c r="C1247" s="2" t="s">
        <v>2143</v>
      </c>
      <c r="D1247" s="2">
        <v>12</v>
      </c>
      <c r="E1247" s="27" t="s">
        <v>123</v>
      </c>
      <c r="F1247" t="s">
        <v>15</v>
      </c>
      <c r="G1247" s="47"/>
      <c r="H1247" s="102"/>
      <c r="I1247" s="63"/>
      <c r="J1247" t="s">
        <v>1825</v>
      </c>
      <c r="K1247" s="2" t="s">
        <v>1525</v>
      </c>
      <c r="L124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0067-26</v>
      </c>
    </row>
    <row r="1248" spans="1:12" x14ac:dyDescent="0.25">
      <c r="A1248" s="52">
        <v>46112</v>
      </c>
      <c r="B1248" s="27" t="s">
        <v>522</v>
      </c>
      <c r="C1248" s="2" t="s">
        <v>2144</v>
      </c>
      <c r="D1248" s="2">
        <v>3</v>
      </c>
      <c r="E1248" s="27" t="s">
        <v>123</v>
      </c>
      <c r="F1248" t="s">
        <v>15</v>
      </c>
      <c r="G1248" s="47"/>
      <c r="H1248" s="102"/>
      <c r="I1248" s="63"/>
      <c r="J1248" t="s">
        <v>1825</v>
      </c>
      <c r="K1248" s="2" t="s">
        <v>1525</v>
      </c>
      <c r="L124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0070-26</v>
      </c>
    </row>
    <row r="1249" spans="1:12" x14ac:dyDescent="0.25">
      <c r="A1249" s="52">
        <v>46112</v>
      </c>
      <c r="B1249" s="27" t="s">
        <v>522</v>
      </c>
      <c r="C1249" s="2" t="s">
        <v>2145</v>
      </c>
      <c r="D1249" s="2">
        <v>4</v>
      </c>
      <c r="E1249" s="27" t="s">
        <v>175</v>
      </c>
      <c r="F1249" t="s">
        <v>390</v>
      </c>
      <c r="G1249" s="47"/>
      <c r="H1249" s="102"/>
      <c r="I1249" s="63"/>
      <c r="J1249" t="s">
        <v>1832</v>
      </c>
      <c r="K1249" s="2" t="s">
        <v>1525</v>
      </c>
      <c r="L124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TRANSPORTE MARZO (03-06-13-20)</v>
      </c>
    </row>
    <row r="1250" spans="1:12" x14ac:dyDescent="0.25">
      <c r="A1250" s="52">
        <v>46142</v>
      </c>
      <c r="B1250" s="27" t="s">
        <v>148</v>
      </c>
      <c r="C1250" s="2" t="s">
        <v>2146</v>
      </c>
      <c r="D1250" s="2">
        <v>2</v>
      </c>
      <c r="E1250" s="27" t="s">
        <v>123</v>
      </c>
      <c r="F1250" t="s">
        <v>15</v>
      </c>
      <c r="G1250" s="47"/>
      <c r="H1250" s="102"/>
      <c r="I1250" s="63"/>
      <c r="J1250" t="s">
        <v>1878</v>
      </c>
      <c r="K1250" s="2" t="s">
        <v>1531</v>
      </c>
      <c r="L125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0078-26</v>
      </c>
    </row>
    <row r="1251" spans="1:12" x14ac:dyDescent="0.25">
      <c r="A1251" s="52">
        <v>46142</v>
      </c>
      <c r="B1251" s="27" t="s">
        <v>148</v>
      </c>
      <c r="C1251" s="2" t="s">
        <v>2147</v>
      </c>
      <c r="D1251" s="2">
        <v>1</v>
      </c>
      <c r="E1251" s="27" t="s">
        <v>123</v>
      </c>
      <c r="F1251" t="s">
        <v>15</v>
      </c>
      <c r="G1251" s="47"/>
      <c r="H1251" s="102"/>
      <c r="I1251" s="63"/>
      <c r="J1251" t="s">
        <v>1878</v>
      </c>
      <c r="K1251" s="2" t="s">
        <v>1531</v>
      </c>
      <c r="L125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0079-26</v>
      </c>
    </row>
    <row r="1252" spans="1:12" x14ac:dyDescent="0.25">
      <c r="A1252" s="52">
        <v>46142</v>
      </c>
      <c r="B1252" s="27" t="s">
        <v>148</v>
      </c>
      <c r="C1252" s="2" t="s">
        <v>2148</v>
      </c>
      <c r="D1252" s="2">
        <v>2</v>
      </c>
      <c r="E1252" s="27" t="s">
        <v>123</v>
      </c>
      <c r="F1252" t="s">
        <v>15</v>
      </c>
      <c r="G1252" s="47"/>
      <c r="H1252" s="102"/>
      <c r="I1252" s="63"/>
      <c r="J1252" t="s">
        <v>1878</v>
      </c>
      <c r="K1252" s="2" t="s">
        <v>1531</v>
      </c>
      <c r="L125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0081-26</v>
      </c>
    </row>
    <row r="1253" spans="1:12" x14ac:dyDescent="0.25">
      <c r="A1253" s="52">
        <v>46142</v>
      </c>
      <c r="B1253" s="27" t="s">
        <v>148</v>
      </c>
      <c r="C1253" s="2" t="s">
        <v>2149</v>
      </c>
      <c r="D1253" s="2">
        <v>1</v>
      </c>
      <c r="E1253" s="27" t="s">
        <v>123</v>
      </c>
      <c r="F1253" t="s">
        <v>15</v>
      </c>
      <c r="G1253" s="47"/>
      <c r="H1253" s="102"/>
      <c r="I1253" s="63"/>
      <c r="J1253" t="s">
        <v>1878</v>
      </c>
      <c r="K1253" s="2" t="s">
        <v>1531</v>
      </c>
      <c r="L125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0084-26</v>
      </c>
    </row>
    <row r="1254" spans="1:12" x14ac:dyDescent="0.25">
      <c r="A1254" s="52">
        <v>46142</v>
      </c>
      <c r="B1254" s="27" t="s">
        <v>522</v>
      </c>
      <c r="C1254" s="2" t="s">
        <v>2150</v>
      </c>
      <c r="D1254" s="2">
        <v>9</v>
      </c>
      <c r="E1254" s="27" t="s">
        <v>123</v>
      </c>
      <c r="F1254" t="s">
        <v>15</v>
      </c>
      <c r="G1254" s="47"/>
      <c r="H1254" s="102"/>
      <c r="I1254" s="63"/>
      <c r="J1254" t="s">
        <v>1825</v>
      </c>
      <c r="K1254" s="2" t="s">
        <v>1531</v>
      </c>
      <c r="L125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0072-26</v>
      </c>
    </row>
    <row r="1255" spans="1:12" x14ac:dyDescent="0.25">
      <c r="A1255" s="52">
        <v>46142</v>
      </c>
      <c r="B1255" s="27" t="s">
        <v>522</v>
      </c>
      <c r="C1255" s="2" t="s">
        <v>2151</v>
      </c>
      <c r="D1255" s="2">
        <v>11</v>
      </c>
      <c r="E1255" s="27" t="s">
        <v>123</v>
      </c>
      <c r="F1255" t="s">
        <v>15</v>
      </c>
      <c r="G1255" s="47"/>
      <c r="H1255" s="102"/>
      <c r="I1255" s="63"/>
      <c r="J1255" t="s">
        <v>1825</v>
      </c>
      <c r="K1255" s="2" t="s">
        <v>1531</v>
      </c>
      <c r="L125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0075-26</v>
      </c>
    </row>
    <row r="1256" spans="1:12" x14ac:dyDescent="0.25">
      <c r="A1256" s="52">
        <v>46142</v>
      </c>
      <c r="B1256" s="27" t="s">
        <v>522</v>
      </c>
      <c r="C1256" s="2" t="s">
        <v>2152</v>
      </c>
      <c r="D1256" s="2">
        <v>3</v>
      </c>
      <c r="E1256" s="27" t="s">
        <v>123</v>
      </c>
      <c r="F1256" t="s">
        <v>15</v>
      </c>
      <c r="G1256" s="47"/>
      <c r="H1256" s="102"/>
      <c r="I1256" s="63"/>
      <c r="J1256" t="s">
        <v>1825</v>
      </c>
      <c r="K1256" s="2" t="s">
        <v>1531</v>
      </c>
      <c r="L125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0076-26</v>
      </c>
    </row>
    <row r="1257" spans="1:12" x14ac:dyDescent="0.25">
      <c r="A1257" s="52">
        <v>46142</v>
      </c>
      <c r="B1257" s="27" t="s">
        <v>522</v>
      </c>
      <c r="C1257" s="2" t="s">
        <v>2153</v>
      </c>
      <c r="D1257" s="2">
        <v>4</v>
      </c>
      <c r="E1257" s="27" t="s">
        <v>123</v>
      </c>
      <c r="F1257" t="s">
        <v>15</v>
      </c>
      <c r="G1257" s="47"/>
      <c r="H1257" s="102"/>
      <c r="I1257" s="63"/>
      <c r="J1257" t="s">
        <v>1825</v>
      </c>
      <c r="K1257" s="2" t="s">
        <v>1531</v>
      </c>
      <c r="L125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0083-26</v>
      </c>
    </row>
    <row r="1258" spans="1:12" x14ac:dyDescent="0.25">
      <c r="A1258" s="52">
        <v>46142</v>
      </c>
      <c r="B1258" s="27" t="s">
        <v>522</v>
      </c>
      <c r="C1258" s="2" t="s">
        <v>2154</v>
      </c>
      <c r="D1258" s="2">
        <v>9</v>
      </c>
      <c r="E1258" s="27" t="s">
        <v>123</v>
      </c>
      <c r="F1258" t="s">
        <v>15</v>
      </c>
      <c r="G1258" s="47"/>
      <c r="H1258" s="102"/>
      <c r="I1258" s="63"/>
      <c r="J1258" t="s">
        <v>1825</v>
      </c>
      <c r="K1258" s="2" t="s">
        <v>1531</v>
      </c>
      <c r="L125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0085-26</v>
      </c>
    </row>
    <row r="1259" spans="1:12" x14ac:dyDescent="0.25">
      <c r="A1259" s="52">
        <v>46142</v>
      </c>
      <c r="B1259" s="27" t="s">
        <v>522</v>
      </c>
      <c r="C1259" s="2" t="s">
        <v>2155</v>
      </c>
      <c r="D1259" s="2">
        <v>5</v>
      </c>
      <c r="E1259" s="27" t="s">
        <v>123</v>
      </c>
      <c r="F1259" t="s">
        <v>15</v>
      </c>
      <c r="G1259" s="47"/>
      <c r="H1259" s="102"/>
      <c r="I1259" s="63"/>
      <c r="J1259" t="s">
        <v>1825</v>
      </c>
      <c r="K1259" s="2" t="s">
        <v>1531</v>
      </c>
      <c r="L125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0087-26</v>
      </c>
    </row>
    <row r="1260" spans="1:12" x14ac:dyDescent="0.25">
      <c r="A1260" s="52">
        <v>46142</v>
      </c>
      <c r="B1260" s="27" t="s">
        <v>522</v>
      </c>
      <c r="C1260" s="2" t="s">
        <v>2156</v>
      </c>
      <c r="D1260" s="2">
        <v>5</v>
      </c>
      <c r="E1260" s="27" t="s">
        <v>123</v>
      </c>
      <c r="F1260" t="s">
        <v>15</v>
      </c>
      <c r="G1260" s="47"/>
      <c r="H1260" s="102"/>
      <c r="I1260" s="63"/>
      <c r="J1260" t="s">
        <v>1825</v>
      </c>
      <c r="K1260" s="2" t="s">
        <v>1531</v>
      </c>
      <c r="L126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0093-26</v>
      </c>
    </row>
    <row r="1261" spans="1:12" x14ac:dyDescent="0.25">
      <c r="A1261" s="52">
        <v>46142</v>
      </c>
      <c r="B1261" s="27" t="s">
        <v>522</v>
      </c>
      <c r="C1261" s="2" t="s">
        <v>2157</v>
      </c>
      <c r="D1261" s="2">
        <v>6</v>
      </c>
      <c r="E1261" s="27" t="s">
        <v>123</v>
      </c>
      <c r="F1261" t="s">
        <v>15</v>
      </c>
      <c r="G1261" s="47"/>
      <c r="H1261" s="102"/>
      <c r="I1261" s="63"/>
      <c r="J1261" t="s">
        <v>1825</v>
      </c>
      <c r="K1261" s="2" t="s">
        <v>1531</v>
      </c>
      <c r="L126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0095-26</v>
      </c>
    </row>
    <row r="1262" spans="1:12" x14ac:dyDescent="0.25">
      <c r="A1262" s="52">
        <v>46142</v>
      </c>
      <c r="B1262" s="27" t="s">
        <v>522</v>
      </c>
      <c r="C1262" s="2" t="s">
        <v>2158</v>
      </c>
      <c r="D1262" s="2">
        <v>2</v>
      </c>
      <c r="E1262" s="27" t="s">
        <v>175</v>
      </c>
      <c r="F1262" t="s">
        <v>390</v>
      </c>
      <c r="G1262" s="47"/>
      <c r="H1262" s="102"/>
      <c r="I1262" s="63"/>
      <c r="J1262" t="s">
        <v>1832</v>
      </c>
      <c r="K1262" s="2" t="s">
        <v>1531</v>
      </c>
      <c r="L126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TRASNPORTE ABRIL 2026 (07-20)</v>
      </c>
    </row>
    <row r="1263" spans="1:12" x14ac:dyDescent="0.25">
      <c r="A1263" s="52">
        <v>46142</v>
      </c>
      <c r="B1263" s="27" t="s">
        <v>522</v>
      </c>
      <c r="C1263" s="2" t="s">
        <v>2159</v>
      </c>
      <c r="D1263" s="2">
        <v>2</v>
      </c>
      <c r="E1263" s="27" t="s">
        <v>171</v>
      </c>
      <c r="F1263" t="s">
        <v>49</v>
      </c>
      <c r="G1263" s="47"/>
      <c r="H1263" s="102"/>
      <c r="I1263" s="63"/>
      <c r="J1263" t="s">
        <v>2160</v>
      </c>
      <c r="K1263" s="2" t="s">
        <v>1531</v>
      </c>
      <c r="L126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0089-26</v>
      </c>
    </row>
    <row r="1264" spans="1:12" x14ac:dyDescent="0.25">
      <c r="A1264" s="52">
        <v>46142</v>
      </c>
      <c r="B1264" s="27" t="s">
        <v>522</v>
      </c>
      <c r="C1264" s="2" t="s">
        <v>2161</v>
      </c>
      <c r="D1264" s="2">
        <v>2</v>
      </c>
      <c r="E1264" s="27" t="s">
        <v>171</v>
      </c>
      <c r="F1264" t="s">
        <v>49</v>
      </c>
      <c r="G1264" s="47"/>
      <c r="H1264" s="102"/>
      <c r="I1264" s="63"/>
      <c r="J1264" t="s">
        <v>2160</v>
      </c>
      <c r="K1264" s="2" t="s">
        <v>1531</v>
      </c>
      <c r="L126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0090-26</v>
      </c>
    </row>
    <row r="1265" spans="1:12" x14ac:dyDescent="0.25">
      <c r="A1265" s="52">
        <v>46142</v>
      </c>
      <c r="B1265" s="27" t="s">
        <v>522</v>
      </c>
      <c r="C1265" s="2" t="s">
        <v>2162</v>
      </c>
      <c r="D1265" s="2">
        <v>2</v>
      </c>
      <c r="E1265" s="27" t="s">
        <v>171</v>
      </c>
      <c r="F1265" t="s">
        <v>49</v>
      </c>
      <c r="G1265" s="47"/>
      <c r="H1265" s="102"/>
      <c r="I1265" s="63"/>
      <c r="J1265" t="s">
        <v>2160</v>
      </c>
      <c r="K1265" s="2" t="s">
        <v>1531</v>
      </c>
      <c r="L126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0091-26</v>
      </c>
    </row>
    <row r="1266" spans="1:12" x14ac:dyDescent="0.25">
      <c r="A1266" s="52">
        <v>46142</v>
      </c>
      <c r="B1266" s="27" t="s">
        <v>522</v>
      </c>
      <c r="C1266" s="2" t="s">
        <v>2163</v>
      </c>
      <c r="D1266" s="2">
        <v>2</v>
      </c>
      <c r="E1266" s="27" t="s">
        <v>171</v>
      </c>
      <c r="F1266" t="s">
        <v>49</v>
      </c>
      <c r="G1266" s="47"/>
      <c r="H1266" s="102"/>
      <c r="I1266" s="63"/>
      <c r="J1266" t="s">
        <v>2160</v>
      </c>
      <c r="K1266" s="2" t="s">
        <v>1531</v>
      </c>
      <c r="L126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0092-26</v>
      </c>
    </row>
    <row r="1267" spans="1:12" x14ac:dyDescent="0.25">
      <c r="A1267" s="52">
        <v>46173</v>
      </c>
      <c r="B1267" s="27" t="s">
        <v>522</v>
      </c>
      <c r="C1267" s="2" t="s">
        <v>2164</v>
      </c>
      <c r="D1267" s="2">
        <v>2</v>
      </c>
      <c r="E1267" s="27" t="s">
        <v>123</v>
      </c>
      <c r="F1267" t="s">
        <v>15</v>
      </c>
      <c r="G1267" s="47"/>
      <c r="H1267" s="102"/>
      <c r="I1267" s="63"/>
      <c r="J1267" t="s">
        <v>1825</v>
      </c>
      <c r="K1267" s="2" t="s">
        <v>1144</v>
      </c>
      <c r="L126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0098-26</v>
      </c>
    </row>
    <row r="1268" spans="1:12" x14ac:dyDescent="0.25">
      <c r="A1268" s="52">
        <v>46173</v>
      </c>
      <c r="B1268" s="27" t="s">
        <v>522</v>
      </c>
      <c r="C1268" s="2" t="s">
        <v>2165</v>
      </c>
      <c r="D1268" s="2">
        <v>9</v>
      </c>
      <c r="E1268" s="27" t="s">
        <v>123</v>
      </c>
      <c r="F1268" t="s">
        <v>15</v>
      </c>
      <c r="G1268" s="47"/>
      <c r="H1268" s="102"/>
      <c r="I1268" s="63"/>
      <c r="J1268" t="s">
        <v>1825</v>
      </c>
      <c r="K1268" s="2" t="s">
        <v>1144</v>
      </c>
      <c r="L126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0099-26</v>
      </c>
    </row>
    <row r="1269" spans="1:12" x14ac:dyDescent="0.25">
      <c r="A1269" s="52">
        <v>46173</v>
      </c>
      <c r="B1269" s="27" t="s">
        <v>522</v>
      </c>
      <c r="C1269" s="2" t="s">
        <v>2166</v>
      </c>
      <c r="D1269" s="2">
        <v>2</v>
      </c>
      <c r="E1269" s="27" t="s">
        <v>123</v>
      </c>
      <c r="F1269" t="s">
        <v>15</v>
      </c>
      <c r="G1269" s="47"/>
      <c r="H1269" s="102"/>
      <c r="I1269" s="63"/>
      <c r="J1269" t="s">
        <v>1825</v>
      </c>
      <c r="K1269" s="2" t="s">
        <v>1144</v>
      </c>
      <c r="L126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0100-26</v>
      </c>
    </row>
    <row r="1270" spans="1:12" x14ac:dyDescent="0.25">
      <c r="A1270" s="52">
        <v>46173</v>
      </c>
      <c r="B1270" s="27" t="s">
        <v>522</v>
      </c>
      <c r="C1270" s="2" t="s">
        <v>2167</v>
      </c>
      <c r="D1270" s="2">
        <v>3</v>
      </c>
      <c r="E1270" s="27" t="s">
        <v>123</v>
      </c>
      <c r="F1270" t="s">
        <v>15</v>
      </c>
      <c r="G1270" s="47"/>
      <c r="H1270" s="102"/>
      <c r="I1270" s="63"/>
      <c r="J1270" t="s">
        <v>1825</v>
      </c>
      <c r="K1270" s="2" t="s">
        <v>1144</v>
      </c>
      <c r="L127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0102-26</v>
      </c>
    </row>
    <row r="1271" spans="1:12" x14ac:dyDescent="0.25">
      <c r="A1271" s="52">
        <v>46173</v>
      </c>
      <c r="B1271" s="27" t="s">
        <v>522</v>
      </c>
      <c r="C1271" s="2" t="s">
        <v>2168</v>
      </c>
      <c r="D1271" s="2">
        <v>3</v>
      </c>
      <c r="E1271" s="27" t="s">
        <v>123</v>
      </c>
      <c r="F1271" t="s">
        <v>15</v>
      </c>
      <c r="G1271" s="47"/>
      <c r="H1271" s="102"/>
      <c r="I1271" s="63"/>
      <c r="J1271" t="s">
        <v>1825</v>
      </c>
      <c r="K1271" s="2" t="s">
        <v>1144</v>
      </c>
      <c r="L127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0104-26</v>
      </c>
    </row>
    <row r="1272" spans="1:12" x14ac:dyDescent="0.25">
      <c r="A1272" s="52">
        <v>46173</v>
      </c>
      <c r="B1272" s="27" t="s">
        <v>522</v>
      </c>
      <c r="C1272" s="2" t="s">
        <v>2169</v>
      </c>
      <c r="D1272" s="2">
        <v>1</v>
      </c>
      <c r="E1272" s="27" t="s">
        <v>175</v>
      </c>
      <c r="F1272" t="s">
        <v>390</v>
      </c>
      <c r="G1272" s="47"/>
      <c r="H1272" s="102"/>
      <c r="I1272" s="63"/>
      <c r="J1272" t="s">
        <v>1832</v>
      </c>
      <c r="K1272" s="2" t="s">
        <v>1144</v>
      </c>
      <c r="L127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TRANSPORTE MAYO (07)</v>
      </c>
    </row>
    <row r="1273" spans="1:12" x14ac:dyDescent="0.25">
      <c r="A1273" s="52">
        <v>46203</v>
      </c>
      <c r="B1273" s="27" t="s">
        <v>522</v>
      </c>
      <c r="C1273" s="2" t="s">
        <v>2170</v>
      </c>
      <c r="D1273" s="2">
        <v>3</v>
      </c>
      <c r="E1273" s="27" t="s">
        <v>123</v>
      </c>
      <c r="F1273" t="s">
        <v>15</v>
      </c>
      <c r="G1273" s="47"/>
      <c r="H1273" s="102"/>
      <c r="I1273" s="63"/>
      <c r="J1273" t="s">
        <v>1825</v>
      </c>
      <c r="K1273" s="2" t="s">
        <v>1172</v>
      </c>
      <c r="L127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0108-26</v>
      </c>
    </row>
    <row r="1274" spans="1:12" x14ac:dyDescent="0.25">
      <c r="A1274" s="52">
        <v>46203</v>
      </c>
      <c r="B1274" s="27" t="s">
        <v>522</v>
      </c>
      <c r="C1274" s="2" t="s">
        <v>2171</v>
      </c>
      <c r="D1274" s="2">
        <v>11</v>
      </c>
      <c r="E1274" s="27" t="s">
        <v>123</v>
      </c>
      <c r="F1274" t="s">
        <v>15</v>
      </c>
      <c r="G1274" s="47"/>
      <c r="H1274" s="102"/>
      <c r="I1274" s="63"/>
      <c r="J1274" t="s">
        <v>1825</v>
      </c>
      <c r="K1274" s="2" t="s">
        <v>1172</v>
      </c>
      <c r="L127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0109-26</v>
      </c>
    </row>
    <row r="1275" spans="1:12" x14ac:dyDescent="0.25">
      <c r="A1275" s="52">
        <v>46203</v>
      </c>
      <c r="B1275" s="27" t="s">
        <v>522</v>
      </c>
      <c r="C1275" s="2" t="s">
        <v>2172</v>
      </c>
      <c r="D1275" s="2">
        <v>7</v>
      </c>
      <c r="E1275" s="27" t="s">
        <v>123</v>
      </c>
      <c r="F1275" t="s">
        <v>15</v>
      </c>
      <c r="G1275" s="47"/>
      <c r="H1275" s="102"/>
      <c r="I1275" s="63"/>
      <c r="J1275" t="s">
        <v>1825</v>
      </c>
      <c r="K1275" s="2" t="s">
        <v>1172</v>
      </c>
      <c r="L127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0122-26</v>
      </c>
    </row>
    <row r="1276" spans="1:12" x14ac:dyDescent="0.25">
      <c r="A1276" s="52">
        <v>46203</v>
      </c>
      <c r="B1276" s="27" t="s">
        <v>522</v>
      </c>
      <c r="C1276" s="2" t="s">
        <v>2173</v>
      </c>
      <c r="D1276" s="2">
        <v>3</v>
      </c>
      <c r="E1276" s="27" t="s">
        <v>123</v>
      </c>
      <c r="F1276" t="s">
        <v>15</v>
      </c>
      <c r="G1276" s="47"/>
      <c r="H1276" s="102"/>
      <c r="I1276" s="63"/>
      <c r="J1276" t="s">
        <v>1825</v>
      </c>
      <c r="K1276" s="2" t="s">
        <v>1172</v>
      </c>
      <c r="L127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0125-26</v>
      </c>
    </row>
    <row r="1277" spans="1:12" x14ac:dyDescent="0.25">
      <c r="A1277" s="52">
        <v>46203</v>
      </c>
      <c r="B1277" s="27" t="s">
        <v>522</v>
      </c>
      <c r="C1277" s="2" t="s">
        <v>2174</v>
      </c>
      <c r="D1277" s="2">
        <v>11</v>
      </c>
      <c r="E1277" s="27" t="s">
        <v>123</v>
      </c>
      <c r="F1277" t="s">
        <v>15</v>
      </c>
      <c r="G1277" s="47"/>
      <c r="H1277" s="102"/>
      <c r="I1277" s="63"/>
      <c r="J1277" t="s">
        <v>1825</v>
      </c>
      <c r="K1277" s="2" t="s">
        <v>1172</v>
      </c>
      <c r="L127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0127-26</v>
      </c>
    </row>
    <row r="1278" spans="1:12" x14ac:dyDescent="0.25">
      <c r="A1278" s="52">
        <v>46203</v>
      </c>
      <c r="B1278" s="27" t="s">
        <v>522</v>
      </c>
      <c r="C1278" s="2" t="s">
        <v>2175</v>
      </c>
      <c r="D1278" s="2">
        <v>2</v>
      </c>
      <c r="E1278" s="27" t="s">
        <v>175</v>
      </c>
      <c r="F1278" t="s">
        <v>390</v>
      </c>
      <c r="G1278" s="47"/>
      <c r="H1278" s="102"/>
      <c r="I1278" s="63"/>
      <c r="J1278" t="s">
        <v>1832</v>
      </c>
      <c r="K1278" s="2" t="s">
        <v>1172</v>
      </c>
      <c r="L127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TRANSPORTE JUNIO (02-25)</v>
      </c>
    </row>
    <row r="1279" spans="1:12" x14ac:dyDescent="0.25">
      <c r="A1279" s="52">
        <v>46203</v>
      </c>
      <c r="B1279" s="27" t="s">
        <v>148</v>
      </c>
      <c r="C1279" s="2" t="s">
        <v>2176</v>
      </c>
      <c r="D1279" s="2">
        <v>6</v>
      </c>
      <c r="E1279" s="27" t="s">
        <v>123</v>
      </c>
      <c r="F1279" t="s">
        <v>15</v>
      </c>
      <c r="G1279" s="47"/>
      <c r="H1279" s="102"/>
      <c r="I1279" s="63"/>
      <c r="J1279" t="s">
        <v>1878</v>
      </c>
      <c r="K1279" s="2" t="s">
        <v>1172</v>
      </c>
      <c r="L127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0107-26</v>
      </c>
    </row>
    <row r="1280" spans="1:12" x14ac:dyDescent="0.25">
      <c r="A1280" s="52">
        <v>46203</v>
      </c>
      <c r="B1280" s="27" t="s">
        <v>148</v>
      </c>
      <c r="C1280" s="2" t="s">
        <v>2177</v>
      </c>
      <c r="D1280" s="2">
        <v>1</v>
      </c>
      <c r="E1280" s="27" t="s">
        <v>123</v>
      </c>
      <c r="F1280" t="s">
        <v>15</v>
      </c>
      <c r="G1280" s="47"/>
      <c r="H1280" s="102"/>
      <c r="I1280" s="63"/>
      <c r="J1280" t="s">
        <v>1878</v>
      </c>
      <c r="K1280" s="2" t="s">
        <v>1172</v>
      </c>
      <c r="L128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0123-26</v>
      </c>
    </row>
    <row r="1281" spans="1:12" x14ac:dyDescent="0.25">
      <c r="A1281" s="52">
        <v>46203</v>
      </c>
      <c r="B1281" s="27" t="s">
        <v>148</v>
      </c>
      <c r="C1281" s="2" t="s">
        <v>2178</v>
      </c>
      <c r="D1281" s="2">
        <v>1</v>
      </c>
      <c r="E1281" s="27" t="s">
        <v>123</v>
      </c>
      <c r="F1281" t="s">
        <v>15</v>
      </c>
      <c r="G1281" s="47"/>
      <c r="H1281" s="102"/>
      <c r="I1281" s="63"/>
      <c r="J1281" t="s">
        <v>1878</v>
      </c>
      <c r="K1281" s="2" t="s">
        <v>1172</v>
      </c>
      <c r="L128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0124-26</v>
      </c>
    </row>
    <row r="1282" spans="1:12" x14ac:dyDescent="0.25">
      <c r="A1282" s="52">
        <v>46203</v>
      </c>
      <c r="B1282" s="27" t="s">
        <v>148</v>
      </c>
      <c r="C1282" s="2" t="s">
        <v>2179</v>
      </c>
      <c r="D1282" s="2">
        <v>2</v>
      </c>
      <c r="E1282" s="27" t="s">
        <v>123</v>
      </c>
      <c r="F1282" t="s">
        <v>15</v>
      </c>
      <c r="G1282" s="47"/>
      <c r="H1282" s="102"/>
      <c r="I1282" s="63"/>
      <c r="J1282" t="s">
        <v>1878</v>
      </c>
      <c r="K1282" s="2" t="s">
        <v>1172</v>
      </c>
      <c r="L128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0126-26</v>
      </c>
    </row>
    <row r="1283" spans="1:12" x14ac:dyDescent="0.25">
      <c r="A1283" s="52">
        <v>46203</v>
      </c>
      <c r="B1283" s="27" t="s">
        <v>148</v>
      </c>
      <c r="C1283" s="2" t="s">
        <v>2180</v>
      </c>
      <c r="D1283" s="2">
        <v>1</v>
      </c>
      <c r="E1283" s="27" t="s">
        <v>123</v>
      </c>
      <c r="F1283" t="s">
        <v>15</v>
      </c>
      <c r="G1283" s="47"/>
      <c r="H1283" s="102"/>
      <c r="I1283" s="63"/>
      <c r="J1283" t="s">
        <v>1878</v>
      </c>
      <c r="K1283" s="2" t="s">
        <v>1172</v>
      </c>
      <c r="L1283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0128-26</v>
      </c>
    </row>
    <row r="1284" spans="1:12" x14ac:dyDescent="0.25">
      <c r="A1284" s="52">
        <v>46203</v>
      </c>
      <c r="B1284" s="27" t="s">
        <v>148</v>
      </c>
      <c r="C1284" s="2" t="s">
        <v>2181</v>
      </c>
      <c r="D1284" s="2">
        <v>1</v>
      </c>
      <c r="E1284" s="27" t="s">
        <v>123</v>
      </c>
      <c r="F1284" t="s">
        <v>15</v>
      </c>
      <c r="G1284" s="47"/>
      <c r="H1284" s="102"/>
      <c r="I1284" s="63"/>
      <c r="J1284" t="s">
        <v>1878</v>
      </c>
      <c r="K1284" s="2" t="s">
        <v>1172</v>
      </c>
      <c r="L1284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0129-26</v>
      </c>
    </row>
    <row r="1285" spans="1:12" x14ac:dyDescent="0.25">
      <c r="A1285" s="52">
        <v>46234</v>
      </c>
      <c r="B1285" s="27" t="s">
        <v>522</v>
      </c>
      <c r="C1285" s="2" t="s">
        <v>2183</v>
      </c>
      <c r="D1285" s="2">
        <v>4</v>
      </c>
      <c r="E1285" s="27" t="s">
        <v>123</v>
      </c>
      <c r="F1285" t="s">
        <v>15</v>
      </c>
      <c r="G1285" s="47"/>
      <c r="H1285" s="102"/>
      <c r="I1285" s="63"/>
      <c r="J1285" t="s">
        <v>1825</v>
      </c>
      <c r="K1285" s="2" t="s">
        <v>1254</v>
      </c>
      <c r="L1285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0130-26</v>
      </c>
    </row>
    <row r="1286" spans="1:12" x14ac:dyDescent="0.25">
      <c r="A1286" s="52">
        <v>46234</v>
      </c>
      <c r="B1286" s="27" t="s">
        <v>522</v>
      </c>
      <c r="C1286" s="2" t="s">
        <v>2184</v>
      </c>
      <c r="D1286" s="2">
        <v>3</v>
      </c>
      <c r="E1286" s="27" t="s">
        <v>123</v>
      </c>
      <c r="F1286" t="s">
        <v>15</v>
      </c>
      <c r="G1286" s="47"/>
      <c r="H1286" s="102"/>
      <c r="I1286" s="63"/>
      <c r="J1286" t="s">
        <v>1825</v>
      </c>
      <c r="K1286" s="2" t="s">
        <v>1254</v>
      </c>
      <c r="L1286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0133-26</v>
      </c>
    </row>
    <row r="1287" spans="1:12" x14ac:dyDescent="0.25">
      <c r="A1287" s="52">
        <v>46234</v>
      </c>
      <c r="B1287" s="27" t="s">
        <v>522</v>
      </c>
      <c r="C1287" s="2" t="s">
        <v>2185</v>
      </c>
      <c r="D1287" s="2">
        <v>3</v>
      </c>
      <c r="E1287" s="27" t="s">
        <v>123</v>
      </c>
      <c r="F1287" t="s">
        <v>15</v>
      </c>
      <c r="G1287" s="47"/>
      <c r="H1287" s="102"/>
      <c r="I1287" s="63"/>
      <c r="J1287" t="s">
        <v>1825</v>
      </c>
      <c r="K1287" s="2" t="s">
        <v>1254</v>
      </c>
      <c r="L1287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0134-26</v>
      </c>
    </row>
    <row r="1288" spans="1:12" x14ac:dyDescent="0.25">
      <c r="A1288" s="52">
        <v>46234</v>
      </c>
      <c r="B1288" s="27" t="s">
        <v>522</v>
      </c>
      <c r="C1288" s="2" t="s">
        <v>2186</v>
      </c>
      <c r="D1288" s="2">
        <v>3</v>
      </c>
      <c r="E1288" s="27" t="s">
        <v>123</v>
      </c>
      <c r="F1288" t="s">
        <v>15</v>
      </c>
      <c r="G1288" s="47"/>
      <c r="H1288" s="102"/>
      <c r="I1288" s="63"/>
      <c r="J1288" t="s">
        <v>1825</v>
      </c>
      <c r="K1288" s="2" t="s">
        <v>1254</v>
      </c>
      <c r="L1288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0137-26</v>
      </c>
    </row>
    <row r="1289" spans="1:12" x14ac:dyDescent="0.25">
      <c r="A1289" s="52">
        <v>46234</v>
      </c>
      <c r="B1289" s="27" t="s">
        <v>522</v>
      </c>
      <c r="C1289" s="2" t="s">
        <v>2187</v>
      </c>
      <c r="D1289" s="2">
        <v>3</v>
      </c>
      <c r="E1289" s="27" t="s">
        <v>123</v>
      </c>
      <c r="F1289" t="s">
        <v>15</v>
      </c>
      <c r="G1289" s="47"/>
      <c r="H1289" s="102"/>
      <c r="I1289" s="63"/>
      <c r="J1289" t="s">
        <v>1825</v>
      </c>
      <c r="K1289" s="2" t="s">
        <v>1254</v>
      </c>
      <c r="L1289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0142-26</v>
      </c>
    </row>
    <row r="1290" spans="1:12" x14ac:dyDescent="0.25">
      <c r="A1290" s="52">
        <v>46234</v>
      </c>
      <c r="B1290" s="27" t="s">
        <v>522</v>
      </c>
      <c r="C1290" s="2" t="s">
        <v>2188</v>
      </c>
      <c r="D1290" s="2">
        <v>2</v>
      </c>
      <c r="E1290" s="27" t="s">
        <v>123</v>
      </c>
      <c r="F1290" t="s">
        <v>15</v>
      </c>
      <c r="G1290" s="47"/>
      <c r="H1290" s="102"/>
      <c r="I1290" s="63"/>
      <c r="J1290" t="s">
        <v>1825</v>
      </c>
      <c r="K1290" s="2" t="s">
        <v>1254</v>
      </c>
      <c r="L1290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0143-26</v>
      </c>
    </row>
    <row r="1291" spans="1:12" x14ac:dyDescent="0.25">
      <c r="A1291" s="52">
        <v>46234</v>
      </c>
      <c r="B1291" s="27" t="s">
        <v>522</v>
      </c>
      <c r="C1291" s="2" t="s">
        <v>2189</v>
      </c>
      <c r="D1291" s="2">
        <v>3</v>
      </c>
      <c r="E1291" s="27" t="s">
        <v>123</v>
      </c>
      <c r="F1291" t="s">
        <v>15</v>
      </c>
      <c r="G1291" s="47"/>
      <c r="H1291" s="102"/>
      <c r="I1291" s="63"/>
      <c r="J1291" t="s">
        <v>1825</v>
      </c>
      <c r="K1291" s="2" t="s">
        <v>1254</v>
      </c>
      <c r="L129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0147-26</v>
      </c>
    </row>
    <row r="1292" spans="1:12" x14ac:dyDescent="0.25">
      <c r="A1292" s="52">
        <v>46234</v>
      </c>
      <c r="B1292" s="27" t="s">
        <v>522</v>
      </c>
      <c r="C1292" s="2" t="s">
        <v>2190</v>
      </c>
      <c r="D1292" s="2">
        <v>2</v>
      </c>
      <c r="E1292" s="27" t="s">
        <v>175</v>
      </c>
      <c r="F1292" t="s">
        <v>390</v>
      </c>
      <c r="G1292" s="47"/>
      <c r="H1292" s="102"/>
      <c r="I1292" s="63"/>
      <c r="J1292" t="s">
        <v>1832</v>
      </c>
      <c r="K1292" s="2" t="s">
        <v>1254</v>
      </c>
      <c r="L1292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TRANSPORTE JULIO (02-10)</v>
      </c>
    </row>
    <row r="1293" spans="1:12" x14ac:dyDescent="0.25">
      <c r="A1293" s="52">
        <v>46203</v>
      </c>
      <c r="B1293" s="105" t="s">
        <v>126</v>
      </c>
      <c r="C1293" s="106" t="s">
        <v>2191</v>
      </c>
      <c r="D1293" s="106">
        <v>1</v>
      </c>
      <c r="E1293" s="105" t="s">
        <v>139</v>
      </c>
      <c r="F1293" s="107" t="s">
        <v>468</v>
      </c>
      <c r="G1293" s="47"/>
      <c r="H1293" s="102"/>
      <c r="I1293" s="108"/>
      <c r="J1293" s="109" t="s">
        <v>2192</v>
      </c>
      <c r="K1293" s="110" t="s">
        <v>1172</v>
      </c>
      <c r="L1293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0116-26</v>
      </c>
    </row>
    <row r="1294" spans="1:12" x14ac:dyDescent="0.25">
      <c r="A1294" s="52">
        <v>46203</v>
      </c>
      <c r="B1294" s="105" t="s">
        <v>126</v>
      </c>
      <c r="C1294" s="106" t="s">
        <v>2193</v>
      </c>
      <c r="D1294" s="106">
        <v>1</v>
      </c>
      <c r="E1294" s="105" t="s">
        <v>157</v>
      </c>
      <c r="F1294" s="107" t="s">
        <v>37</v>
      </c>
      <c r="G1294" s="47"/>
      <c r="H1294" s="102"/>
      <c r="I1294" s="108"/>
      <c r="J1294" s="109" t="s">
        <v>2194</v>
      </c>
      <c r="K1294" s="110" t="s">
        <v>1172</v>
      </c>
      <c r="L1294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0117-26</v>
      </c>
    </row>
    <row r="1295" spans="1:12" x14ac:dyDescent="0.25">
      <c r="A1295" s="52">
        <v>46203</v>
      </c>
      <c r="B1295" s="105" t="s">
        <v>126</v>
      </c>
      <c r="C1295" s="106" t="s">
        <v>2195</v>
      </c>
      <c r="D1295" s="106">
        <v>1</v>
      </c>
      <c r="E1295" s="105" t="s">
        <v>159</v>
      </c>
      <c r="F1295" s="107" t="s">
        <v>39</v>
      </c>
      <c r="G1295" s="47"/>
      <c r="H1295" s="102"/>
      <c r="I1295" s="108"/>
      <c r="J1295" s="109" t="s">
        <v>2196</v>
      </c>
      <c r="K1295" s="110" t="s">
        <v>1172</v>
      </c>
      <c r="L1295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0118-26</v>
      </c>
    </row>
    <row r="1296" spans="1:12" x14ac:dyDescent="0.25">
      <c r="A1296" s="52">
        <v>46203</v>
      </c>
      <c r="B1296" s="105" t="s">
        <v>126</v>
      </c>
      <c r="C1296" s="106" t="s">
        <v>2197</v>
      </c>
      <c r="D1296" s="106">
        <v>1</v>
      </c>
      <c r="E1296" s="105" t="s">
        <v>139</v>
      </c>
      <c r="F1296" s="107" t="s">
        <v>468</v>
      </c>
      <c r="G1296" s="47"/>
      <c r="H1296" s="102"/>
      <c r="I1296" s="108"/>
      <c r="J1296" s="109" t="s">
        <v>2192</v>
      </c>
      <c r="K1296" s="110" t="s">
        <v>1172</v>
      </c>
      <c r="L1296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0119-26</v>
      </c>
    </row>
    <row r="1297" spans="1:12" x14ac:dyDescent="0.25">
      <c r="A1297" s="52">
        <v>46203</v>
      </c>
      <c r="B1297" s="105" t="s">
        <v>126</v>
      </c>
      <c r="C1297" s="106" t="s">
        <v>2198</v>
      </c>
      <c r="D1297" s="106">
        <v>1</v>
      </c>
      <c r="E1297" s="105" t="s">
        <v>157</v>
      </c>
      <c r="F1297" s="107" t="s">
        <v>37</v>
      </c>
      <c r="G1297" s="47"/>
      <c r="H1297" s="102"/>
      <c r="I1297" s="108"/>
      <c r="J1297" s="109" t="s">
        <v>2194</v>
      </c>
      <c r="K1297" s="110" t="s">
        <v>1172</v>
      </c>
      <c r="L1297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0120-26</v>
      </c>
    </row>
    <row r="1298" spans="1:12" x14ac:dyDescent="0.25">
      <c r="A1298" s="52">
        <v>46203</v>
      </c>
      <c r="B1298" s="105" t="s">
        <v>126</v>
      </c>
      <c r="C1298" s="106" t="s">
        <v>2199</v>
      </c>
      <c r="D1298" s="106">
        <v>1</v>
      </c>
      <c r="E1298" s="105" t="s">
        <v>159</v>
      </c>
      <c r="F1298" s="107" t="s">
        <v>39</v>
      </c>
      <c r="G1298" s="47"/>
      <c r="H1298" s="102"/>
      <c r="I1298" s="108"/>
      <c r="J1298" s="109" t="s">
        <v>2196</v>
      </c>
      <c r="K1298" s="110" t="s">
        <v>1172</v>
      </c>
      <c r="L1298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0121-26</v>
      </c>
    </row>
    <row r="1299" spans="1:12" x14ac:dyDescent="0.25">
      <c r="A1299" s="52">
        <v>46203</v>
      </c>
      <c r="B1299" s="105" t="s">
        <v>126</v>
      </c>
      <c r="C1299" s="106" t="s">
        <v>2200</v>
      </c>
      <c r="D1299" s="106">
        <v>1</v>
      </c>
      <c r="E1299" s="105" t="s">
        <v>139</v>
      </c>
      <c r="F1299" s="107" t="s">
        <v>468</v>
      </c>
      <c r="G1299" s="47"/>
      <c r="H1299" s="102"/>
      <c r="I1299" s="108"/>
      <c r="J1299" s="109" t="s">
        <v>2192</v>
      </c>
      <c r="K1299" s="110" t="s">
        <v>1172</v>
      </c>
      <c r="L1299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0110-26</v>
      </c>
    </row>
    <row r="1300" spans="1:12" x14ac:dyDescent="0.25">
      <c r="A1300" s="52">
        <v>46203</v>
      </c>
      <c r="B1300" s="105" t="s">
        <v>126</v>
      </c>
      <c r="C1300" s="106" t="s">
        <v>2201</v>
      </c>
      <c r="D1300" s="106">
        <v>1</v>
      </c>
      <c r="E1300" s="105" t="s">
        <v>157</v>
      </c>
      <c r="F1300" s="107" t="s">
        <v>37</v>
      </c>
      <c r="G1300" s="47"/>
      <c r="H1300" s="102"/>
      <c r="I1300" s="108"/>
      <c r="J1300" s="109" t="s">
        <v>2194</v>
      </c>
      <c r="K1300" s="110" t="s">
        <v>1172</v>
      </c>
      <c r="L1300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0111-26</v>
      </c>
    </row>
    <row r="1301" spans="1:12" x14ac:dyDescent="0.25">
      <c r="A1301" s="52">
        <v>46203</v>
      </c>
      <c r="B1301" s="105" t="s">
        <v>126</v>
      </c>
      <c r="C1301" s="106" t="s">
        <v>2202</v>
      </c>
      <c r="D1301" s="106">
        <v>1</v>
      </c>
      <c r="E1301" s="105" t="s">
        <v>158</v>
      </c>
      <c r="F1301" s="107" t="s">
        <v>38</v>
      </c>
      <c r="G1301" s="47"/>
      <c r="H1301" s="102"/>
      <c r="I1301" s="108"/>
      <c r="J1301" s="109" t="s">
        <v>2203</v>
      </c>
      <c r="K1301" s="110" t="s">
        <v>1172</v>
      </c>
      <c r="L1301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0112-26</v>
      </c>
    </row>
    <row r="1302" spans="1:12" x14ac:dyDescent="0.25">
      <c r="A1302" s="52">
        <v>46203</v>
      </c>
      <c r="B1302" s="105" t="s">
        <v>126</v>
      </c>
      <c r="C1302" s="106" t="s">
        <v>2204</v>
      </c>
      <c r="D1302" s="106">
        <v>1</v>
      </c>
      <c r="E1302" s="105" t="s">
        <v>139</v>
      </c>
      <c r="F1302" s="107" t="s">
        <v>468</v>
      </c>
      <c r="G1302" s="47"/>
      <c r="H1302" s="102"/>
      <c r="I1302" s="108"/>
      <c r="J1302" s="109" t="s">
        <v>2192</v>
      </c>
      <c r="K1302" s="110" t="s">
        <v>1172</v>
      </c>
      <c r="L1302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0113-26</v>
      </c>
    </row>
    <row r="1303" spans="1:12" x14ac:dyDescent="0.25">
      <c r="A1303" s="52">
        <v>46203</v>
      </c>
      <c r="B1303" s="105" t="s">
        <v>126</v>
      </c>
      <c r="C1303" s="106" t="s">
        <v>2205</v>
      </c>
      <c r="D1303" s="106">
        <v>1</v>
      </c>
      <c r="E1303" s="105" t="s">
        <v>157</v>
      </c>
      <c r="F1303" s="107" t="s">
        <v>37</v>
      </c>
      <c r="G1303" s="47"/>
      <c r="H1303" s="102"/>
      <c r="I1303" s="108"/>
      <c r="J1303" s="109" t="s">
        <v>2194</v>
      </c>
      <c r="K1303" s="110" t="s">
        <v>1172</v>
      </c>
      <c r="L1303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0114-26</v>
      </c>
    </row>
    <row r="1304" spans="1:12" x14ac:dyDescent="0.25">
      <c r="A1304" s="52">
        <v>46203</v>
      </c>
      <c r="B1304" s="105" t="s">
        <v>126</v>
      </c>
      <c r="C1304" s="106" t="s">
        <v>2206</v>
      </c>
      <c r="D1304" s="106">
        <v>1</v>
      </c>
      <c r="E1304" s="105" t="s">
        <v>158</v>
      </c>
      <c r="F1304" s="107" t="s">
        <v>38</v>
      </c>
      <c r="G1304" s="47"/>
      <c r="H1304" s="102"/>
      <c r="I1304" s="108"/>
      <c r="J1304" s="109" t="s">
        <v>2203</v>
      </c>
      <c r="K1304" s="110" t="s">
        <v>1172</v>
      </c>
      <c r="L1304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0115-26</v>
      </c>
    </row>
    <row r="1305" spans="1:12" x14ac:dyDescent="0.25">
      <c r="A1305" s="52">
        <v>46203</v>
      </c>
      <c r="B1305" s="105" t="s">
        <v>126</v>
      </c>
      <c r="C1305" s="106" t="s">
        <v>2207</v>
      </c>
      <c r="D1305" s="106">
        <v>2</v>
      </c>
      <c r="E1305" s="105" t="s">
        <v>2208</v>
      </c>
      <c r="F1305" s="107" t="s">
        <v>1394</v>
      </c>
      <c r="G1305" s="47"/>
      <c r="H1305" s="102"/>
      <c r="I1305" s="108"/>
      <c r="J1305" s="109" t="s">
        <v>2209</v>
      </c>
      <c r="K1305" s="110" t="s">
        <v>1172</v>
      </c>
      <c r="L1305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PERSONAL (04-05)</v>
      </c>
    </row>
    <row r="1306" spans="1:12" x14ac:dyDescent="0.25">
      <c r="A1306" s="52">
        <v>46203</v>
      </c>
      <c r="B1306" s="105" t="s">
        <v>126</v>
      </c>
      <c r="C1306" s="106" t="s">
        <v>2211</v>
      </c>
      <c r="D1306" s="106">
        <v>2</v>
      </c>
      <c r="E1306" s="105" t="s">
        <v>2208</v>
      </c>
      <c r="F1306" s="107" t="s">
        <v>1394</v>
      </c>
      <c r="G1306" s="47"/>
      <c r="H1306" s="102"/>
      <c r="I1306" s="108"/>
      <c r="J1306" s="109" t="s">
        <v>2209</v>
      </c>
      <c r="K1306" s="110" t="s">
        <v>1172</v>
      </c>
      <c r="L1306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PERSONAL (11-12)</v>
      </c>
    </row>
    <row r="1307" spans="1:12" x14ac:dyDescent="0.25">
      <c r="A1307" s="52">
        <v>46203</v>
      </c>
      <c r="B1307" s="105" t="s">
        <v>126</v>
      </c>
      <c r="C1307" s="106" t="s">
        <v>2212</v>
      </c>
      <c r="D1307" s="106">
        <v>2</v>
      </c>
      <c r="E1307" s="105" t="s">
        <v>123</v>
      </c>
      <c r="F1307" s="107" t="s">
        <v>15</v>
      </c>
      <c r="G1307" s="47"/>
      <c r="H1307" s="102"/>
      <c r="I1307" s="108"/>
      <c r="J1307" s="109" t="s">
        <v>2210</v>
      </c>
      <c r="K1307" s="110" t="s">
        <v>1172</v>
      </c>
      <c r="L1307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0131-26</v>
      </c>
    </row>
    <row r="1308" spans="1:12" x14ac:dyDescent="0.25">
      <c r="A1308" s="52">
        <v>46203</v>
      </c>
      <c r="B1308" s="105" t="s">
        <v>126</v>
      </c>
      <c r="C1308" s="106" t="s">
        <v>2213</v>
      </c>
      <c r="D1308" s="106">
        <v>2</v>
      </c>
      <c r="E1308" s="105" t="s">
        <v>123</v>
      </c>
      <c r="F1308" s="107" t="s">
        <v>15</v>
      </c>
      <c r="G1308" s="47"/>
      <c r="H1308" s="102"/>
      <c r="I1308" s="108"/>
      <c r="J1308" s="109" t="s">
        <v>2210</v>
      </c>
      <c r="K1308" s="110" t="s">
        <v>1172</v>
      </c>
      <c r="L1308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0132-26</v>
      </c>
    </row>
    <row r="1309" spans="1:12" x14ac:dyDescent="0.25">
      <c r="A1309" s="52">
        <v>46234</v>
      </c>
      <c r="B1309" s="105" t="s">
        <v>126</v>
      </c>
      <c r="C1309" s="106" t="s">
        <v>2214</v>
      </c>
      <c r="D1309" s="106">
        <v>2</v>
      </c>
      <c r="E1309" s="105" t="s">
        <v>123</v>
      </c>
      <c r="F1309" s="107" t="s">
        <v>15</v>
      </c>
      <c r="G1309" s="47"/>
      <c r="H1309" s="102"/>
      <c r="I1309" s="108"/>
      <c r="J1309" s="109" t="s">
        <v>2210</v>
      </c>
      <c r="K1309" s="110" t="s">
        <v>1254</v>
      </c>
      <c r="L1309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0135-26</v>
      </c>
    </row>
    <row r="1310" spans="1:12" x14ac:dyDescent="0.25">
      <c r="A1310" s="52">
        <v>46234</v>
      </c>
      <c r="B1310" s="105" t="s">
        <v>126</v>
      </c>
      <c r="C1310" s="106" t="s">
        <v>2215</v>
      </c>
      <c r="D1310" s="106">
        <v>2</v>
      </c>
      <c r="E1310" s="105" t="s">
        <v>123</v>
      </c>
      <c r="F1310" s="107" t="s">
        <v>15</v>
      </c>
      <c r="G1310" s="47"/>
      <c r="H1310" s="102"/>
      <c r="I1310" s="108"/>
      <c r="J1310" s="109" t="s">
        <v>2210</v>
      </c>
      <c r="K1310" s="110" t="s">
        <v>1254</v>
      </c>
      <c r="L1310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0136-26</v>
      </c>
    </row>
    <row r="1311" spans="1:12" x14ac:dyDescent="0.25">
      <c r="A1311" s="52">
        <v>46234</v>
      </c>
      <c r="B1311" s="105" t="s">
        <v>126</v>
      </c>
      <c r="C1311" s="106" t="s">
        <v>2216</v>
      </c>
      <c r="D1311" s="106">
        <v>2</v>
      </c>
      <c r="E1311" s="105" t="s">
        <v>123</v>
      </c>
      <c r="F1311" s="107" t="s">
        <v>15</v>
      </c>
      <c r="G1311" s="47"/>
      <c r="H1311" s="102"/>
      <c r="I1311" s="108"/>
      <c r="J1311" s="109" t="s">
        <v>2210</v>
      </c>
      <c r="K1311" s="110" t="s">
        <v>1254</v>
      </c>
      <c r="L1311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0138-26</v>
      </c>
    </row>
    <row r="1312" spans="1:12" x14ac:dyDescent="0.25">
      <c r="A1312" s="52">
        <v>46234</v>
      </c>
      <c r="B1312" s="105" t="s">
        <v>126</v>
      </c>
      <c r="C1312" s="106" t="s">
        <v>2217</v>
      </c>
      <c r="D1312" s="106">
        <v>2</v>
      </c>
      <c r="E1312" s="105" t="s">
        <v>123</v>
      </c>
      <c r="F1312" s="107" t="s">
        <v>15</v>
      </c>
      <c r="G1312" s="47"/>
      <c r="H1312" s="102"/>
      <c r="I1312" s="108"/>
      <c r="J1312" s="109" t="s">
        <v>2210</v>
      </c>
      <c r="K1312" s="110" t="s">
        <v>1254</v>
      </c>
      <c r="L1312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0139-26</v>
      </c>
    </row>
    <row r="1313" spans="1:12" x14ac:dyDescent="0.25">
      <c r="A1313" s="52">
        <v>46234</v>
      </c>
      <c r="B1313" s="105" t="s">
        <v>126</v>
      </c>
      <c r="C1313" s="106" t="s">
        <v>2218</v>
      </c>
      <c r="D1313" s="106">
        <v>3</v>
      </c>
      <c r="E1313" s="105" t="s">
        <v>123</v>
      </c>
      <c r="F1313" s="107" t="s">
        <v>15</v>
      </c>
      <c r="G1313" s="47"/>
      <c r="H1313" s="102"/>
      <c r="I1313" s="108"/>
      <c r="J1313" s="109" t="s">
        <v>2210</v>
      </c>
      <c r="K1313" s="110" t="s">
        <v>1254</v>
      </c>
      <c r="L1313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0140-26</v>
      </c>
    </row>
    <row r="1314" spans="1:12" x14ac:dyDescent="0.25">
      <c r="A1314" s="52">
        <v>46234</v>
      </c>
      <c r="B1314" s="105" t="s">
        <v>126</v>
      </c>
      <c r="C1314" s="106" t="s">
        <v>2219</v>
      </c>
      <c r="D1314" s="106">
        <v>3</v>
      </c>
      <c r="E1314" s="105" t="s">
        <v>123</v>
      </c>
      <c r="F1314" s="107" t="s">
        <v>15</v>
      </c>
      <c r="G1314" s="47"/>
      <c r="H1314" s="102"/>
      <c r="I1314" s="108"/>
      <c r="J1314" s="109" t="s">
        <v>2210</v>
      </c>
      <c r="K1314" s="110" t="s">
        <v>1254</v>
      </c>
      <c r="L1314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0141-26</v>
      </c>
    </row>
    <row r="1315" spans="1:12" x14ac:dyDescent="0.25">
      <c r="A1315" s="52">
        <v>46234</v>
      </c>
      <c r="B1315" s="105" t="s">
        <v>126</v>
      </c>
      <c r="C1315" s="106" t="s">
        <v>2220</v>
      </c>
      <c r="D1315" s="106">
        <v>2</v>
      </c>
      <c r="E1315" s="105" t="s">
        <v>123</v>
      </c>
      <c r="F1315" s="107" t="s">
        <v>15</v>
      </c>
      <c r="G1315" s="47"/>
      <c r="H1315" s="102"/>
      <c r="I1315" s="108"/>
      <c r="J1315" s="109" t="s">
        <v>2210</v>
      </c>
      <c r="K1315" s="110" t="s">
        <v>1254</v>
      </c>
      <c r="L1315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0144-26</v>
      </c>
    </row>
    <row r="1316" spans="1:12" x14ac:dyDescent="0.25">
      <c r="A1316" s="52">
        <v>46234</v>
      </c>
      <c r="B1316" s="105" t="s">
        <v>126</v>
      </c>
      <c r="C1316" s="106" t="s">
        <v>2221</v>
      </c>
      <c r="D1316" s="106">
        <v>3</v>
      </c>
      <c r="E1316" s="105" t="s">
        <v>123</v>
      </c>
      <c r="F1316" s="107" t="s">
        <v>15</v>
      </c>
      <c r="G1316" s="47"/>
      <c r="H1316" s="102"/>
      <c r="I1316" s="108"/>
      <c r="J1316" s="109" t="s">
        <v>2210</v>
      </c>
      <c r="K1316" s="110" t="s">
        <v>1254</v>
      </c>
      <c r="L1316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0145-26</v>
      </c>
    </row>
    <row r="1317" spans="1:12" x14ac:dyDescent="0.25">
      <c r="A1317" s="52">
        <v>46234</v>
      </c>
      <c r="B1317" s="105" t="s">
        <v>126</v>
      </c>
      <c r="C1317" s="106" t="s">
        <v>2222</v>
      </c>
      <c r="D1317" s="106">
        <v>1</v>
      </c>
      <c r="E1317" s="105" t="s">
        <v>123</v>
      </c>
      <c r="F1317" s="107" t="s">
        <v>15</v>
      </c>
      <c r="G1317" s="47"/>
      <c r="H1317" s="102"/>
      <c r="I1317" s="108"/>
      <c r="J1317" s="109" t="s">
        <v>2210</v>
      </c>
      <c r="K1317" s="110" t="s">
        <v>1254</v>
      </c>
      <c r="L1317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0146-26</v>
      </c>
    </row>
    <row r="1318" spans="1:12" x14ac:dyDescent="0.25">
      <c r="A1318" s="52">
        <v>46234</v>
      </c>
      <c r="B1318" s="105" t="s">
        <v>126</v>
      </c>
      <c r="C1318" s="106" t="s">
        <v>2223</v>
      </c>
      <c r="D1318" s="106">
        <v>4</v>
      </c>
      <c r="E1318" s="105" t="s">
        <v>123</v>
      </c>
      <c r="F1318" s="107" t="s">
        <v>15</v>
      </c>
      <c r="G1318" s="47"/>
      <c r="H1318" s="102"/>
      <c r="I1318" s="108"/>
      <c r="J1318" s="109" t="s">
        <v>2210</v>
      </c>
      <c r="K1318" s="110" t="s">
        <v>1254</v>
      </c>
      <c r="L1318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0148-26</v>
      </c>
    </row>
    <row r="1319" spans="1:12" x14ac:dyDescent="0.25">
      <c r="A1319" s="52">
        <v>46234</v>
      </c>
      <c r="B1319" s="105" t="s">
        <v>126</v>
      </c>
      <c r="C1319" s="106" t="s">
        <v>2224</v>
      </c>
      <c r="D1319" s="106">
        <v>4</v>
      </c>
      <c r="E1319" s="105" t="s">
        <v>123</v>
      </c>
      <c r="F1319" s="107" t="s">
        <v>15</v>
      </c>
      <c r="G1319" s="47"/>
      <c r="H1319" s="102"/>
      <c r="I1319" s="108"/>
      <c r="J1319" s="109" t="s">
        <v>2210</v>
      </c>
      <c r="K1319" s="110" t="s">
        <v>1254</v>
      </c>
      <c r="L1319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0149-26</v>
      </c>
    </row>
    <row r="1320" spans="1:12" x14ac:dyDescent="0.25">
      <c r="A1320" s="52">
        <v>46234</v>
      </c>
      <c r="B1320" s="105" t="s">
        <v>126</v>
      </c>
      <c r="C1320" s="106" t="s">
        <v>2225</v>
      </c>
      <c r="D1320" s="106">
        <v>2</v>
      </c>
      <c r="E1320" s="105" t="s">
        <v>123</v>
      </c>
      <c r="F1320" s="107" t="s">
        <v>15</v>
      </c>
      <c r="G1320" s="47"/>
      <c r="H1320" s="102"/>
      <c r="I1320" s="108"/>
      <c r="J1320" s="109" t="s">
        <v>2210</v>
      </c>
      <c r="K1320" s="110" t="s">
        <v>1254</v>
      </c>
      <c r="L1320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0150-26</v>
      </c>
    </row>
    <row r="1321" spans="1:12" x14ac:dyDescent="0.25">
      <c r="A1321" s="52">
        <v>46234</v>
      </c>
      <c r="B1321" s="105" t="s">
        <v>126</v>
      </c>
      <c r="C1321" s="106" t="s">
        <v>2226</v>
      </c>
      <c r="D1321" s="106">
        <v>2</v>
      </c>
      <c r="E1321" s="105" t="s">
        <v>123</v>
      </c>
      <c r="F1321" s="107" t="s">
        <v>15</v>
      </c>
      <c r="G1321" s="47"/>
      <c r="H1321" s="102"/>
      <c r="I1321" s="108"/>
      <c r="J1321" s="109" t="s">
        <v>2210</v>
      </c>
      <c r="K1321" s="110" t="s">
        <v>1254</v>
      </c>
      <c r="L1321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0151-26</v>
      </c>
    </row>
    <row r="1322" spans="1:12" x14ac:dyDescent="0.25">
      <c r="A1322" s="52">
        <v>46234</v>
      </c>
      <c r="B1322" s="105" t="s">
        <v>126</v>
      </c>
      <c r="C1322" s="106" t="s">
        <v>2227</v>
      </c>
      <c r="D1322" s="106">
        <v>2</v>
      </c>
      <c r="E1322" s="105" t="s">
        <v>123</v>
      </c>
      <c r="F1322" s="107" t="s">
        <v>15</v>
      </c>
      <c r="G1322" s="47"/>
      <c r="H1322" s="102"/>
      <c r="I1322" s="108"/>
      <c r="J1322" s="109" t="s">
        <v>2210</v>
      </c>
      <c r="K1322" s="110" t="s">
        <v>1254</v>
      </c>
      <c r="L1322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0153-26</v>
      </c>
    </row>
    <row r="1323" spans="1:12" x14ac:dyDescent="0.25">
      <c r="A1323" s="52">
        <v>46234</v>
      </c>
      <c r="B1323" s="105" t="s">
        <v>126</v>
      </c>
      <c r="C1323" s="106" t="s">
        <v>2228</v>
      </c>
      <c r="D1323" s="106">
        <v>6</v>
      </c>
      <c r="E1323" s="105" t="s">
        <v>123</v>
      </c>
      <c r="F1323" s="107" t="s">
        <v>15</v>
      </c>
      <c r="G1323" s="47"/>
      <c r="H1323" s="102"/>
      <c r="I1323" s="108"/>
      <c r="J1323" s="109" t="s">
        <v>2210</v>
      </c>
      <c r="K1323" s="110" t="s">
        <v>1254</v>
      </c>
      <c r="L1323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0155-26</v>
      </c>
    </row>
    <row r="1324" spans="1:12" x14ac:dyDescent="0.25">
      <c r="A1324" s="52">
        <v>46234</v>
      </c>
      <c r="B1324" s="105" t="s">
        <v>126</v>
      </c>
      <c r="C1324" s="106" t="s">
        <v>2229</v>
      </c>
      <c r="D1324" s="106">
        <v>4</v>
      </c>
      <c r="E1324" s="105" t="s">
        <v>123</v>
      </c>
      <c r="F1324" s="107" t="s">
        <v>15</v>
      </c>
      <c r="G1324" s="47"/>
      <c r="H1324" s="102"/>
      <c r="I1324" s="108"/>
      <c r="J1324" s="109" t="s">
        <v>2210</v>
      </c>
      <c r="K1324" s="110" t="s">
        <v>1254</v>
      </c>
      <c r="L1324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0156-26</v>
      </c>
    </row>
    <row r="1325" spans="1:12" x14ac:dyDescent="0.25">
      <c r="A1325" s="52">
        <v>46234</v>
      </c>
      <c r="B1325" s="105" t="s">
        <v>126</v>
      </c>
      <c r="C1325" s="106" t="s">
        <v>2230</v>
      </c>
      <c r="D1325" s="106">
        <v>3</v>
      </c>
      <c r="E1325" s="105" t="s">
        <v>204</v>
      </c>
      <c r="F1325" s="107" t="s">
        <v>1394</v>
      </c>
      <c r="G1325" s="47"/>
      <c r="H1325" s="102"/>
      <c r="I1325" s="108"/>
      <c r="J1325" s="109" t="s">
        <v>2231</v>
      </c>
      <c r="K1325" s="110" t="s">
        <v>1254</v>
      </c>
      <c r="L1325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DIA DE PERSONAL JULIO(25-26-31)</v>
      </c>
    </row>
    <row r="1326" spans="1:12" x14ac:dyDescent="0.25">
      <c r="A1326" s="52">
        <v>46234</v>
      </c>
      <c r="B1326" s="105" t="s">
        <v>126</v>
      </c>
      <c r="C1326" s="106" t="s">
        <v>2232</v>
      </c>
      <c r="D1326" s="106">
        <v>1</v>
      </c>
      <c r="E1326" s="105" t="s">
        <v>204</v>
      </c>
      <c r="F1326" s="107" t="s">
        <v>1394</v>
      </c>
      <c r="G1326" s="47"/>
      <c r="H1326" s="102"/>
      <c r="I1326" s="108"/>
      <c r="J1326" s="109" t="s">
        <v>2231</v>
      </c>
      <c r="K1326" s="110" t="s">
        <v>1254</v>
      </c>
      <c r="L1326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DIA DE PERSONAL AGOSTO (01)</v>
      </c>
    </row>
    <row r="1327" spans="1:12" x14ac:dyDescent="0.25">
      <c r="A1327" s="52">
        <v>46234</v>
      </c>
      <c r="B1327" s="105" t="s">
        <v>126</v>
      </c>
      <c r="C1327" s="106" t="s">
        <v>2233</v>
      </c>
      <c r="D1327" s="106">
        <v>1</v>
      </c>
      <c r="E1327" s="105" t="s">
        <v>159</v>
      </c>
      <c r="F1327" s="107" t="s">
        <v>39</v>
      </c>
      <c r="G1327" s="47"/>
      <c r="H1327" s="102"/>
      <c r="I1327" s="108"/>
      <c r="J1327" s="109" t="s">
        <v>2196</v>
      </c>
      <c r="K1327" s="110" t="s">
        <v>1254</v>
      </c>
      <c r="L1327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0152-26</v>
      </c>
    </row>
    <row r="1328" spans="1:12" x14ac:dyDescent="0.25">
      <c r="A1328" s="52">
        <v>46265</v>
      </c>
      <c r="B1328" s="105" t="s">
        <v>126</v>
      </c>
      <c r="C1328" s="106" t="s">
        <v>2234</v>
      </c>
      <c r="D1328" s="106">
        <v>1</v>
      </c>
      <c r="E1328" s="105" t="s">
        <v>123</v>
      </c>
      <c r="F1328" s="107" t="s">
        <v>15</v>
      </c>
      <c r="G1328" s="47"/>
      <c r="H1328" s="102"/>
      <c r="I1328" s="108"/>
      <c r="J1328" s="109" t="s">
        <v>2210</v>
      </c>
      <c r="K1328" s="110" t="s">
        <v>1318</v>
      </c>
      <c r="L1328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0158-26</v>
      </c>
    </row>
    <row r="1329" spans="1:12" x14ac:dyDescent="0.25">
      <c r="A1329" s="52">
        <v>46265</v>
      </c>
      <c r="B1329" s="105" t="s">
        <v>126</v>
      </c>
      <c r="C1329" s="106" t="s">
        <v>2235</v>
      </c>
      <c r="D1329" s="106">
        <v>2</v>
      </c>
      <c r="E1329" s="105" t="s">
        <v>123</v>
      </c>
      <c r="F1329" s="107" t="s">
        <v>15</v>
      </c>
      <c r="G1329" s="47"/>
      <c r="H1329" s="102"/>
      <c r="I1329" s="108"/>
      <c r="J1329" s="109" t="s">
        <v>2210</v>
      </c>
      <c r="K1329" s="110" t="s">
        <v>1318</v>
      </c>
      <c r="L1329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0160-26</v>
      </c>
    </row>
    <row r="1330" spans="1:12" x14ac:dyDescent="0.25">
      <c r="A1330" s="52">
        <v>46265</v>
      </c>
      <c r="B1330" s="105" t="s">
        <v>126</v>
      </c>
      <c r="C1330" s="106" t="s">
        <v>2236</v>
      </c>
      <c r="D1330" s="106">
        <v>2</v>
      </c>
      <c r="E1330" s="105" t="s">
        <v>123</v>
      </c>
      <c r="F1330" s="107" t="s">
        <v>15</v>
      </c>
      <c r="G1330" s="47"/>
      <c r="H1330" s="102"/>
      <c r="I1330" s="108"/>
      <c r="J1330" s="109" t="s">
        <v>2210</v>
      </c>
      <c r="K1330" s="110" t="s">
        <v>1318</v>
      </c>
      <c r="L1330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0161-26</v>
      </c>
    </row>
    <row r="1331" spans="1:12" x14ac:dyDescent="0.25">
      <c r="A1331" s="52">
        <v>46265</v>
      </c>
      <c r="B1331" s="105" t="s">
        <v>126</v>
      </c>
      <c r="C1331" s="106" t="s">
        <v>2237</v>
      </c>
      <c r="D1331" s="106">
        <v>2</v>
      </c>
      <c r="E1331" s="105" t="s">
        <v>123</v>
      </c>
      <c r="F1331" s="107" t="s">
        <v>15</v>
      </c>
      <c r="G1331" s="47"/>
      <c r="H1331" s="102"/>
      <c r="I1331" s="108"/>
      <c r="J1331" s="109" t="s">
        <v>2210</v>
      </c>
      <c r="K1331" s="110" t="s">
        <v>1318</v>
      </c>
      <c r="L1331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0163-26</v>
      </c>
    </row>
    <row r="1332" spans="1:12" x14ac:dyDescent="0.25">
      <c r="A1332" s="52">
        <v>46265</v>
      </c>
      <c r="B1332" s="105" t="s">
        <v>126</v>
      </c>
      <c r="C1332" s="106" t="s">
        <v>2238</v>
      </c>
      <c r="D1332" s="106">
        <v>1</v>
      </c>
      <c r="E1332" s="105" t="s">
        <v>159</v>
      </c>
      <c r="F1332" s="107" t="s">
        <v>39</v>
      </c>
      <c r="G1332" s="47"/>
      <c r="H1332" s="102"/>
      <c r="I1332" s="108"/>
      <c r="J1332" s="109" t="s">
        <v>2196</v>
      </c>
      <c r="K1332" s="110" t="s">
        <v>1318</v>
      </c>
      <c r="L1332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0159-26</v>
      </c>
    </row>
    <row r="1333" spans="1:12" x14ac:dyDescent="0.25">
      <c r="A1333" s="52">
        <v>46265</v>
      </c>
      <c r="B1333" s="105" t="s">
        <v>125</v>
      </c>
      <c r="C1333" s="106" t="s">
        <v>2239</v>
      </c>
      <c r="D1333" s="106">
        <v>3</v>
      </c>
      <c r="E1333" s="105" t="s">
        <v>141</v>
      </c>
      <c r="F1333" s="107" t="s">
        <v>437</v>
      </c>
      <c r="G1333" s="47"/>
      <c r="H1333" s="102"/>
      <c r="I1333" s="108"/>
      <c r="J1333" s="109" t="s">
        <v>2240</v>
      </c>
      <c r="K1333" s="110" t="s">
        <v>1318</v>
      </c>
      <c r="L1333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0164-26</v>
      </c>
    </row>
    <row r="1334" spans="1:12" x14ac:dyDescent="0.25">
      <c r="A1334" s="52">
        <v>46265</v>
      </c>
      <c r="B1334" s="105" t="s">
        <v>522</v>
      </c>
      <c r="C1334" s="106" t="s">
        <v>2241</v>
      </c>
      <c r="D1334" s="106">
        <v>3</v>
      </c>
      <c r="E1334" s="105" t="s">
        <v>123</v>
      </c>
      <c r="F1334" s="107" t="s">
        <v>15</v>
      </c>
      <c r="G1334" s="47"/>
      <c r="H1334" s="102"/>
      <c r="I1334" s="108"/>
      <c r="J1334" s="109" t="s">
        <v>1825</v>
      </c>
      <c r="K1334" s="110" t="s">
        <v>1318</v>
      </c>
      <c r="L1334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0154-26</v>
      </c>
    </row>
    <row r="1335" spans="1:12" x14ac:dyDescent="0.25">
      <c r="A1335" s="52">
        <v>46265</v>
      </c>
      <c r="B1335" s="105" t="s">
        <v>522</v>
      </c>
      <c r="C1335" s="106" t="s">
        <v>2242</v>
      </c>
      <c r="D1335" s="106">
        <v>3</v>
      </c>
      <c r="E1335" s="105" t="s">
        <v>123</v>
      </c>
      <c r="F1335" s="107" t="s">
        <v>15</v>
      </c>
      <c r="G1335" s="47"/>
      <c r="H1335" s="102"/>
      <c r="I1335" s="108"/>
      <c r="J1335" s="109" t="s">
        <v>1825</v>
      </c>
      <c r="K1335" s="110" t="s">
        <v>1318</v>
      </c>
      <c r="L1335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0162-26</v>
      </c>
    </row>
    <row r="1336" spans="1:12" x14ac:dyDescent="0.25">
      <c r="A1336" s="52">
        <v>46265</v>
      </c>
      <c r="B1336" s="105" t="s">
        <v>522</v>
      </c>
      <c r="C1336" s="106" t="s">
        <v>2243</v>
      </c>
      <c r="D1336" s="106">
        <v>1</v>
      </c>
      <c r="E1336" s="105" t="s">
        <v>175</v>
      </c>
      <c r="F1336" s="107" t="s">
        <v>390</v>
      </c>
      <c r="G1336" s="47"/>
      <c r="H1336" s="102"/>
      <c r="I1336" s="108"/>
      <c r="J1336" s="109" t="s">
        <v>1832</v>
      </c>
      <c r="K1336" s="110" t="s">
        <v>1318</v>
      </c>
      <c r="L1336" s="111" t="str">
        <f>IF(IFERROR(Tabla1[[#This Row],[No. INFORME]]/Tabla1[[#This Row],[No. INFORME]],0)=1,DAY(Tabla1[[#This Row],[No. INFORME]])&amp;"/"&amp;MONTH(Tabla1[[#This Row],[No. INFORME]])&amp;"/"&amp;YEAR(Tabla1[[#This Row],[No. INFORME]]),Tabla1[[#This Row],[No. INFORME]])</f>
        <v>TRANSPORTE AGOSTO (25)</v>
      </c>
    </row>
  </sheetData>
  <sheetProtection algorithmName="SHA-512" hashValue="Iw013EctCAgrzfYGfpEY7WfTUXb5WyMAn1NXlh9p5+DF4bISq9piu815E4pdDx12dIsFsVhA03dFRQJVPEUbsA==" saltValue="hP7Ilp4/6+dSL+n4rf4RdA==" spinCount="100000" sheet="1" objects="1" scenarios="1" autoFilter="0"/>
  <sortState ref="A2:K2">
    <sortCondition ref="B1"/>
  </sortState>
  <dataValidations count="1">
    <dataValidation type="list" allowBlank="1" showInputMessage="1" showErrorMessage="1" sqref="I2:I1103 I1107:I1113 I1142:I1173" xr:uid="{00000000-0002-0000-0100-000000000000}">
      <formula1>"Si, No"</formula1>
    </dataValidation>
  </dataValidations>
  <pageMargins left="0.7" right="0.7" top="0.75" bottom="0.75" header="0.3" footer="0.3"/>
  <pageSetup orientation="portrait" horizontalDpi="4294967293" vertic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/>
  <dimension ref="A1:B58"/>
  <sheetViews>
    <sheetView workbookViewId="0">
      <pane xSplit="2" topLeftCell="C1" activePane="topRight" state="frozen"/>
      <selection activeCell="E18" sqref="E18"/>
      <selection pane="topRight" activeCell="B12" sqref="B12"/>
    </sheetView>
  </sheetViews>
  <sheetFormatPr baseColWidth="10" defaultColWidth="11.42578125" defaultRowHeight="15" x14ac:dyDescent="0.25"/>
  <cols>
    <col min="1" max="1" width="9.42578125" style="2" customWidth="1"/>
    <col min="2" max="2" width="62.140625" customWidth="1"/>
  </cols>
  <sheetData>
    <row r="1" spans="1:2" x14ac:dyDescent="0.25">
      <c r="A1" s="2" t="s">
        <v>3</v>
      </c>
      <c r="B1" s="26" t="s">
        <v>0</v>
      </c>
    </row>
    <row r="2" spans="1:2" x14ac:dyDescent="0.25">
      <c r="A2" s="27" t="s">
        <v>250</v>
      </c>
      <c r="B2" s="21" t="s">
        <v>2182</v>
      </c>
    </row>
    <row r="3" spans="1:2" x14ac:dyDescent="0.25">
      <c r="A3" s="27" t="s">
        <v>379</v>
      </c>
      <c r="B3" t="s">
        <v>2014</v>
      </c>
    </row>
    <row r="4" spans="1:2" x14ac:dyDescent="0.25">
      <c r="A4" s="27" t="s">
        <v>384</v>
      </c>
      <c r="B4" t="s">
        <v>1165</v>
      </c>
    </row>
    <row r="5" spans="1:2" x14ac:dyDescent="0.25">
      <c r="A5" s="27" t="s">
        <v>385</v>
      </c>
    </row>
    <row r="6" spans="1:2" x14ac:dyDescent="0.25">
      <c r="A6" s="27" t="s">
        <v>406</v>
      </c>
    </row>
    <row r="7" spans="1:2" x14ac:dyDescent="0.25">
      <c r="A7" s="27" t="s">
        <v>411</v>
      </c>
    </row>
    <row r="8" spans="1:2" x14ac:dyDescent="0.25">
      <c r="A8" s="27" t="s">
        <v>1063</v>
      </c>
    </row>
    <row r="9" spans="1:2" x14ac:dyDescent="0.25">
      <c r="A9" s="27" t="s">
        <v>883</v>
      </c>
      <c r="B9" t="s">
        <v>882</v>
      </c>
    </row>
    <row r="10" spans="1:2" x14ac:dyDescent="0.25">
      <c r="A10" s="27" t="s">
        <v>423</v>
      </c>
    </row>
    <row r="11" spans="1:2" x14ac:dyDescent="0.25">
      <c r="A11" s="27" t="s">
        <v>251</v>
      </c>
      <c r="B11" t="s">
        <v>1060</v>
      </c>
    </row>
    <row r="12" spans="1:2" x14ac:dyDescent="0.25">
      <c r="A12" s="27" t="s">
        <v>1064</v>
      </c>
    </row>
    <row r="13" spans="1:2" x14ac:dyDescent="0.25">
      <c r="A13" s="27" t="s">
        <v>252</v>
      </c>
    </row>
    <row r="14" spans="1:2" x14ac:dyDescent="0.25">
      <c r="A14" s="27" t="s">
        <v>501</v>
      </c>
      <c r="B14" t="s">
        <v>1273</v>
      </c>
    </row>
    <row r="15" spans="1:2" x14ac:dyDescent="0.25">
      <c r="A15" s="27" t="s">
        <v>509</v>
      </c>
      <c r="B15" t="s">
        <v>1061</v>
      </c>
    </row>
    <row r="16" spans="1:2" x14ac:dyDescent="0.25">
      <c r="A16" s="27" t="s">
        <v>512</v>
      </c>
      <c r="B16" t="s">
        <v>511</v>
      </c>
    </row>
    <row r="17" spans="1:2" x14ac:dyDescent="0.25">
      <c r="A17" s="27" t="s">
        <v>514</v>
      </c>
    </row>
    <row r="18" spans="1:2" x14ac:dyDescent="0.25">
      <c r="A18" s="27" t="s">
        <v>795</v>
      </c>
      <c r="B18" t="s">
        <v>1062</v>
      </c>
    </row>
    <row r="19" spans="1:2" x14ac:dyDescent="0.25">
      <c r="A19" s="27" t="s">
        <v>793</v>
      </c>
    </row>
    <row r="20" spans="1:2" x14ac:dyDescent="0.25">
      <c r="A20" s="27" t="s">
        <v>1065</v>
      </c>
    </row>
    <row r="21" spans="1:2" x14ac:dyDescent="0.25">
      <c r="A21" s="27" t="s">
        <v>1066</v>
      </c>
    </row>
    <row r="22" spans="1:2" x14ac:dyDescent="0.25">
      <c r="A22" s="27" t="s">
        <v>1067</v>
      </c>
    </row>
    <row r="23" spans="1:2" x14ac:dyDescent="0.25">
      <c r="A23" s="27" t="s">
        <v>1068</v>
      </c>
    </row>
    <row r="24" spans="1:2" x14ac:dyDescent="0.25">
      <c r="A24" s="27" t="s">
        <v>1069</v>
      </c>
    </row>
    <row r="25" spans="1:2" x14ac:dyDescent="0.25">
      <c r="A25" s="27" t="s">
        <v>1070</v>
      </c>
    </row>
    <row r="26" spans="1:2" x14ac:dyDescent="0.25">
      <c r="A26" s="27" t="s">
        <v>1071</v>
      </c>
    </row>
    <row r="27" spans="1:2" x14ac:dyDescent="0.25">
      <c r="A27" s="27" t="s">
        <v>1072</v>
      </c>
    </row>
    <row r="28" spans="1:2" x14ac:dyDescent="0.25">
      <c r="A28" s="27" t="s">
        <v>1073</v>
      </c>
    </row>
    <row r="29" spans="1:2" x14ac:dyDescent="0.25">
      <c r="A29" s="27" t="s">
        <v>1074</v>
      </c>
    </row>
    <row r="30" spans="1:2" x14ac:dyDescent="0.25">
      <c r="A30" s="27" t="s">
        <v>1075</v>
      </c>
    </row>
    <row r="31" spans="1:2" x14ac:dyDescent="0.25">
      <c r="A31" s="27" t="s">
        <v>1076</v>
      </c>
    </row>
    <row r="32" spans="1:2" x14ac:dyDescent="0.25">
      <c r="A32" s="27" t="s">
        <v>1077</v>
      </c>
    </row>
    <row r="33" spans="1:1" x14ac:dyDescent="0.25">
      <c r="A33" s="27" t="s">
        <v>1078</v>
      </c>
    </row>
    <row r="34" spans="1:1" x14ac:dyDescent="0.25">
      <c r="A34" s="27" t="s">
        <v>1079</v>
      </c>
    </row>
    <row r="35" spans="1:1" x14ac:dyDescent="0.25">
      <c r="A35" s="27" t="s">
        <v>1080</v>
      </c>
    </row>
    <row r="36" spans="1:1" x14ac:dyDescent="0.25">
      <c r="A36" s="27" t="s">
        <v>1081</v>
      </c>
    </row>
    <row r="37" spans="1:1" x14ac:dyDescent="0.25">
      <c r="A37" s="27" t="s">
        <v>1082</v>
      </c>
    </row>
    <row r="38" spans="1:1" x14ac:dyDescent="0.25">
      <c r="A38" s="27" t="s">
        <v>1083</v>
      </c>
    </row>
    <row r="39" spans="1:1" x14ac:dyDescent="0.25">
      <c r="A39" s="27" t="s">
        <v>1084</v>
      </c>
    </row>
    <row r="40" spans="1:1" x14ac:dyDescent="0.25">
      <c r="A40" s="27" t="s">
        <v>1085</v>
      </c>
    </row>
    <row r="41" spans="1:1" x14ac:dyDescent="0.25">
      <c r="A41" s="27" t="s">
        <v>1086</v>
      </c>
    </row>
    <row r="42" spans="1:1" x14ac:dyDescent="0.25">
      <c r="A42" s="27" t="s">
        <v>1087</v>
      </c>
    </row>
    <row r="43" spans="1:1" x14ac:dyDescent="0.25">
      <c r="A43" s="27" t="s">
        <v>1088</v>
      </c>
    </row>
    <row r="44" spans="1:1" x14ac:dyDescent="0.25">
      <c r="A44" s="27" t="s">
        <v>1089</v>
      </c>
    </row>
    <row r="45" spans="1:1" x14ac:dyDescent="0.25">
      <c r="A45" s="27" t="s">
        <v>1090</v>
      </c>
    </row>
    <row r="46" spans="1:1" x14ac:dyDescent="0.25">
      <c r="A46" s="27" t="s">
        <v>1091</v>
      </c>
    </row>
    <row r="47" spans="1:1" x14ac:dyDescent="0.25">
      <c r="A47" s="27" t="s">
        <v>1092</v>
      </c>
    </row>
    <row r="48" spans="1:1" x14ac:dyDescent="0.25">
      <c r="A48" s="27" t="s">
        <v>1093</v>
      </c>
    </row>
    <row r="49" spans="1:2" x14ac:dyDescent="0.25">
      <c r="A49" s="27" t="s">
        <v>1094</v>
      </c>
    </row>
    <row r="50" spans="1:2" x14ac:dyDescent="0.25">
      <c r="A50" s="27" t="s">
        <v>1095</v>
      </c>
    </row>
    <row r="51" spans="1:2" x14ac:dyDescent="0.25">
      <c r="A51" s="27" t="s">
        <v>1096</v>
      </c>
    </row>
    <row r="52" spans="1:2" x14ac:dyDescent="0.25">
      <c r="A52" s="27" t="s">
        <v>1097</v>
      </c>
    </row>
    <row r="53" spans="1:2" x14ac:dyDescent="0.25">
      <c r="A53" s="27" t="s">
        <v>1098</v>
      </c>
    </row>
    <row r="54" spans="1:2" x14ac:dyDescent="0.25">
      <c r="A54" s="27" t="s">
        <v>1099</v>
      </c>
    </row>
    <row r="55" spans="1:2" x14ac:dyDescent="0.25">
      <c r="A55" s="27" t="s">
        <v>1100</v>
      </c>
    </row>
    <row r="56" spans="1:2" x14ac:dyDescent="0.25">
      <c r="A56" s="27" t="s">
        <v>1101</v>
      </c>
    </row>
    <row r="57" spans="1:2" x14ac:dyDescent="0.25">
      <c r="A57" s="27" t="s">
        <v>1143</v>
      </c>
    </row>
    <row r="58" spans="1:2" x14ac:dyDescent="0.25">
      <c r="B58" t="s">
        <v>1902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1:GV24"/>
  <sheetViews>
    <sheetView showGridLines="0" workbookViewId="0">
      <selection activeCell="F16" sqref="F16"/>
    </sheetView>
  </sheetViews>
  <sheetFormatPr baseColWidth="10" defaultColWidth="11.42578125" defaultRowHeight="15" x14ac:dyDescent="0.25"/>
  <cols>
    <col min="1" max="1" width="7.7109375" customWidth="1"/>
    <col min="2" max="2" width="12" style="2" customWidth="1"/>
    <col min="3" max="3" width="46" customWidth="1"/>
    <col min="4" max="4" width="4.5703125" customWidth="1"/>
    <col min="5" max="5" width="12" customWidth="1"/>
    <col min="6" max="6" width="28.28515625" customWidth="1"/>
    <col min="7" max="7" width="4" customWidth="1"/>
    <col min="8" max="8" width="12" customWidth="1"/>
    <col min="9" max="9" width="29.42578125" customWidth="1"/>
    <col min="10" max="10" width="3.7109375" customWidth="1"/>
    <col min="11" max="11" width="12.140625" bestFit="1" customWidth="1"/>
    <col min="12" max="12" width="39.85546875" customWidth="1"/>
    <col min="13" max="13" width="4.5703125" customWidth="1"/>
    <col min="14" max="14" width="16.28515625" customWidth="1"/>
    <col min="15" max="15" width="31.28515625" customWidth="1"/>
    <col min="16" max="16" width="4.28515625" customWidth="1"/>
    <col min="17" max="17" width="12" customWidth="1"/>
    <col min="18" max="18" width="46" customWidth="1"/>
    <col min="19" max="19" width="4" customWidth="1"/>
    <col min="20" max="20" width="12" customWidth="1"/>
    <col min="21" max="21" width="46" customWidth="1"/>
    <col min="22" max="22" width="3.85546875" customWidth="1"/>
    <col min="23" max="23" width="12.140625" bestFit="1" customWidth="1"/>
    <col min="24" max="24" width="46" customWidth="1"/>
    <col min="25" max="25" width="4.5703125" customWidth="1"/>
    <col min="26" max="26" width="12" customWidth="1"/>
    <col min="27" max="27" width="46" customWidth="1"/>
    <col min="28" max="28" width="4.140625" customWidth="1"/>
    <col min="29" max="29" width="12.140625" bestFit="1" customWidth="1"/>
    <col min="30" max="30" width="46" customWidth="1"/>
    <col min="31" max="31" width="5" customWidth="1"/>
    <col min="32" max="32" width="12.140625" bestFit="1" customWidth="1"/>
    <col min="33" max="33" width="46" customWidth="1"/>
    <col min="34" max="34" width="4.85546875" customWidth="1"/>
    <col min="35" max="35" width="12" customWidth="1"/>
    <col min="36" max="36" width="46" customWidth="1"/>
    <col min="37" max="37" width="4" customWidth="1"/>
    <col min="38" max="38" width="12.140625" bestFit="1" customWidth="1"/>
    <col min="39" max="39" width="46" customWidth="1"/>
    <col min="40" max="40" width="5.7109375" customWidth="1"/>
    <col min="41" max="41" width="12" customWidth="1"/>
    <col min="42" max="42" width="46" customWidth="1"/>
    <col min="43" max="43" width="5" customWidth="1"/>
    <col min="44" max="44" width="12" customWidth="1"/>
    <col min="45" max="45" width="46" customWidth="1"/>
    <col min="46" max="46" width="4" customWidth="1"/>
    <col min="47" max="47" width="12.140625" bestFit="1" customWidth="1"/>
    <col min="48" max="48" width="46" customWidth="1"/>
    <col min="49" max="49" width="4.140625" customWidth="1"/>
    <col min="50" max="50" width="12" customWidth="1"/>
    <col min="51" max="51" width="46" customWidth="1"/>
    <col min="52" max="52" width="5.7109375" customWidth="1"/>
    <col min="53" max="53" width="12" customWidth="1"/>
    <col min="54" max="54" width="46" customWidth="1"/>
    <col min="55" max="55" width="4.28515625" customWidth="1"/>
    <col min="56" max="56" width="12" customWidth="1"/>
    <col min="57" max="57" width="46" customWidth="1"/>
    <col min="58" max="58" width="4.5703125" customWidth="1"/>
    <col min="59" max="59" width="12" customWidth="1"/>
    <col min="60" max="60" width="46" customWidth="1"/>
    <col min="61" max="61" width="4.28515625" customWidth="1"/>
    <col min="62" max="62" width="12" customWidth="1"/>
    <col min="63" max="63" width="46" customWidth="1"/>
    <col min="64" max="64" width="4.28515625" customWidth="1"/>
    <col min="65" max="65" width="12" customWidth="1"/>
    <col min="66" max="66" width="46" customWidth="1"/>
    <col min="67" max="67" width="4.42578125" customWidth="1"/>
    <col min="68" max="68" width="12" customWidth="1"/>
    <col min="69" max="69" width="46" customWidth="1"/>
    <col min="70" max="70" width="4.28515625" customWidth="1"/>
    <col min="71" max="71" width="12" customWidth="1"/>
    <col min="72" max="72" width="46" customWidth="1"/>
    <col min="73" max="73" width="3.28515625" customWidth="1"/>
    <col min="74" max="74" width="12" customWidth="1"/>
    <col min="75" max="75" width="46" customWidth="1"/>
    <col min="76" max="76" width="3.85546875" customWidth="1"/>
    <col min="77" max="77" width="12" customWidth="1"/>
    <col min="78" max="78" width="46" customWidth="1"/>
    <col min="79" max="79" width="3.42578125" customWidth="1"/>
    <col min="80" max="80" width="12" customWidth="1"/>
    <col min="81" max="81" width="46" customWidth="1"/>
    <col min="82" max="82" width="3.85546875" customWidth="1"/>
    <col min="83" max="83" width="12" customWidth="1"/>
    <col min="84" max="84" width="46" customWidth="1"/>
    <col min="85" max="85" width="4.28515625" customWidth="1"/>
    <col min="86" max="86" width="12" customWidth="1"/>
    <col min="87" max="87" width="46" customWidth="1"/>
    <col min="88" max="88" width="4.5703125" customWidth="1"/>
    <col min="89" max="89" width="12" customWidth="1"/>
    <col min="90" max="90" width="46" customWidth="1"/>
    <col min="91" max="91" width="4.28515625" customWidth="1"/>
    <col min="92" max="92" width="12" customWidth="1"/>
    <col min="93" max="93" width="46" customWidth="1"/>
    <col min="94" max="94" width="4.28515625" customWidth="1"/>
    <col min="95" max="95" width="12" customWidth="1"/>
    <col min="96" max="96" width="46" customWidth="1"/>
    <col min="97" max="97" width="4.42578125" customWidth="1"/>
    <col min="98" max="98" width="12" customWidth="1"/>
    <col min="99" max="99" width="46" customWidth="1"/>
    <col min="100" max="100" width="4.28515625" customWidth="1"/>
    <col min="101" max="101" width="12" customWidth="1"/>
    <col min="102" max="102" width="46" customWidth="1"/>
    <col min="103" max="103" width="4.28515625" customWidth="1"/>
    <col min="104" max="104" width="12" customWidth="1"/>
    <col min="105" max="105" width="46" customWidth="1"/>
    <col min="106" max="106" width="4.28515625" customWidth="1"/>
    <col min="108" max="108" width="46" customWidth="1"/>
    <col min="111" max="111" width="46" customWidth="1"/>
    <col min="114" max="114" width="46" customWidth="1"/>
    <col min="117" max="117" width="46" customWidth="1"/>
    <col min="120" max="120" width="46" customWidth="1"/>
    <col min="123" max="123" width="46" customWidth="1"/>
    <col min="126" max="126" width="46" customWidth="1"/>
    <col min="129" max="129" width="46" customWidth="1"/>
    <col min="132" max="132" width="46" customWidth="1"/>
    <col min="135" max="135" width="46" customWidth="1"/>
    <col min="138" max="138" width="46" customWidth="1"/>
    <col min="141" max="141" width="46" customWidth="1"/>
    <col min="144" max="144" width="46" customWidth="1"/>
    <col min="147" max="147" width="46" customWidth="1"/>
    <col min="150" max="150" width="46" customWidth="1"/>
    <col min="153" max="153" width="46" customWidth="1"/>
    <col min="156" max="156" width="46" customWidth="1"/>
    <col min="159" max="159" width="46" customWidth="1"/>
    <col min="162" max="162" width="46" customWidth="1"/>
    <col min="165" max="165" width="46" customWidth="1"/>
    <col min="168" max="168" width="46" customWidth="1"/>
    <col min="171" max="171" width="46" customWidth="1"/>
    <col min="174" max="174" width="46" customWidth="1"/>
    <col min="177" max="177" width="46" customWidth="1"/>
    <col min="180" max="180" width="46" customWidth="1"/>
    <col min="183" max="183" width="46" customWidth="1"/>
    <col min="186" max="186" width="46" customWidth="1"/>
    <col min="189" max="189" width="46" customWidth="1"/>
    <col min="192" max="192" width="46" customWidth="1"/>
    <col min="194" max="195" width="46" customWidth="1"/>
    <col min="198" max="198" width="46" customWidth="1"/>
    <col min="201" max="201" width="46" customWidth="1"/>
    <col min="204" max="204" width="46" customWidth="1"/>
  </cols>
  <sheetData>
    <row r="1" spans="2:204" ht="21" customHeight="1" x14ac:dyDescent="0.25">
      <c r="B1" s="93" t="s">
        <v>250</v>
      </c>
      <c r="C1" s="94" t="s">
        <v>2182</v>
      </c>
      <c r="D1" s="95"/>
      <c r="E1" s="93" t="s">
        <v>379</v>
      </c>
      <c r="F1" s="95" t="s">
        <v>2014</v>
      </c>
      <c r="G1" s="95"/>
      <c r="H1" s="95" t="s">
        <v>384</v>
      </c>
      <c r="I1" s="95" t="s">
        <v>1165</v>
      </c>
      <c r="J1" s="95"/>
      <c r="K1" s="95" t="s">
        <v>385</v>
      </c>
      <c r="L1" s="95" t="s">
        <v>248</v>
      </c>
      <c r="M1" s="95"/>
      <c r="N1" s="95" t="s">
        <v>406</v>
      </c>
      <c r="O1" s="95" t="s">
        <v>248</v>
      </c>
      <c r="P1" s="95"/>
      <c r="Q1" s="95" t="s">
        <v>411</v>
      </c>
      <c r="R1" s="95" t="s">
        <v>248</v>
      </c>
      <c r="S1" s="95"/>
      <c r="T1" s="95" t="s">
        <v>1063</v>
      </c>
      <c r="U1" s="95" t="s">
        <v>248</v>
      </c>
      <c r="V1" s="95"/>
      <c r="W1" s="95" t="s">
        <v>883</v>
      </c>
      <c r="X1" s="95" t="s">
        <v>882</v>
      </c>
      <c r="Y1" s="95"/>
      <c r="Z1" s="95" t="s">
        <v>423</v>
      </c>
      <c r="AA1" s="95" t="s">
        <v>248</v>
      </c>
      <c r="AB1" s="95"/>
      <c r="AC1" s="95" t="s">
        <v>251</v>
      </c>
      <c r="AD1" s="95" t="s">
        <v>1060</v>
      </c>
      <c r="AE1" s="95"/>
      <c r="AF1" s="95" t="s">
        <v>1064</v>
      </c>
      <c r="AG1" s="95" t="s">
        <v>248</v>
      </c>
      <c r="AH1" s="95"/>
      <c r="AI1" s="95" t="s">
        <v>252</v>
      </c>
      <c r="AJ1" s="95" t="s">
        <v>248</v>
      </c>
      <c r="AK1" s="95"/>
      <c r="AL1" s="95" t="s">
        <v>501</v>
      </c>
      <c r="AM1" s="95" t="s">
        <v>1273</v>
      </c>
      <c r="AN1" s="95"/>
      <c r="AO1" s="95" t="s">
        <v>509</v>
      </c>
      <c r="AP1" s="95" t="s">
        <v>1061</v>
      </c>
      <c r="AQ1" s="95"/>
      <c r="AR1" s="95" t="s">
        <v>512</v>
      </c>
      <c r="AS1" s="95" t="s">
        <v>511</v>
      </c>
      <c r="AT1" s="95"/>
      <c r="AU1" s="95" t="s">
        <v>514</v>
      </c>
      <c r="AV1" s="95" t="s">
        <v>248</v>
      </c>
      <c r="AW1" s="95"/>
      <c r="AX1" s="95" t="s">
        <v>795</v>
      </c>
      <c r="AY1" s="95" t="s">
        <v>1062</v>
      </c>
      <c r="AZ1" s="95"/>
      <c r="BA1" s="95" t="s">
        <v>793</v>
      </c>
      <c r="BB1" s="95" t="s">
        <v>248</v>
      </c>
      <c r="BC1" s="95"/>
      <c r="BD1" s="95" t="s">
        <v>1065</v>
      </c>
      <c r="BE1" s="95" t="s">
        <v>248</v>
      </c>
      <c r="BF1" s="95"/>
      <c r="BG1" s="95" t="s">
        <v>1066</v>
      </c>
      <c r="BH1" s="95" t="s">
        <v>248</v>
      </c>
      <c r="BI1" s="95"/>
      <c r="BJ1" s="95" t="s">
        <v>1067</v>
      </c>
      <c r="BK1" s="95" t="s">
        <v>248</v>
      </c>
      <c r="BL1" s="95"/>
      <c r="BM1" s="95" t="s">
        <v>1068</v>
      </c>
      <c r="BN1" s="95" t="s">
        <v>248</v>
      </c>
      <c r="BO1" s="95"/>
      <c r="BP1" s="95" t="s">
        <v>1069</v>
      </c>
      <c r="BQ1" s="95" t="s">
        <v>248</v>
      </c>
      <c r="BR1" s="95"/>
      <c r="BS1" s="95" t="s">
        <v>1070</v>
      </c>
      <c r="BT1" s="95" t="s">
        <v>248</v>
      </c>
      <c r="BU1" s="95"/>
      <c r="BV1" s="95" t="s">
        <v>1071</v>
      </c>
      <c r="BW1" s="95" t="s">
        <v>248</v>
      </c>
      <c r="BX1" s="95"/>
      <c r="BY1" s="96" t="s">
        <v>1072</v>
      </c>
      <c r="BZ1" s="96" t="s">
        <v>248</v>
      </c>
      <c r="CA1" s="95"/>
      <c r="CB1" s="95" t="s">
        <v>1073</v>
      </c>
      <c r="CC1" s="95" t="s">
        <v>248</v>
      </c>
      <c r="CD1" s="95"/>
      <c r="CE1" s="95" t="s">
        <v>1074</v>
      </c>
      <c r="CF1" s="95" t="s">
        <v>248</v>
      </c>
      <c r="CG1" s="95"/>
      <c r="CH1" s="95" t="s">
        <v>1075</v>
      </c>
      <c r="CI1" s="95" t="s">
        <v>248</v>
      </c>
      <c r="CJ1" s="95"/>
      <c r="CK1" s="95" t="s">
        <v>1076</v>
      </c>
      <c r="CL1" s="95" t="s">
        <v>248</v>
      </c>
      <c r="CM1" s="95"/>
      <c r="CN1" s="95" t="s">
        <v>1077</v>
      </c>
      <c r="CO1" s="95" t="s">
        <v>248</v>
      </c>
      <c r="CP1" s="95"/>
      <c r="CQ1" s="95" t="s">
        <v>1078</v>
      </c>
      <c r="CR1" s="95" t="s">
        <v>248</v>
      </c>
      <c r="CS1" s="95"/>
      <c r="CT1" s="95" t="s">
        <v>1079</v>
      </c>
      <c r="CU1" s="95" t="s">
        <v>248</v>
      </c>
      <c r="CV1" s="95"/>
      <c r="CW1" s="95" t="s">
        <v>1080</v>
      </c>
      <c r="CX1" s="95" t="s">
        <v>248</v>
      </c>
      <c r="CY1" s="95"/>
      <c r="CZ1" s="95" t="s">
        <v>1081</v>
      </c>
      <c r="DA1" s="95" t="s">
        <v>248</v>
      </c>
      <c r="DB1" s="95"/>
      <c r="DC1" s="95" t="s">
        <v>1082</v>
      </c>
      <c r="DD1" s="95" t="s">
        <v>248</v>
      </c>
      <c r="DE1" s="95"/>
      <c r="DF1" s="95" t="s">
        <v>1083</v>
      </c>
      <c r="DG1" s="95" t="s">
        <v>248</v>
      </c>
      <c r="DH1" s="95"/>
      <c r="DI1" s="95" t="s">
        <v>1084</v>
      </c>
      <c r="DJ1" s="95" t="s">
        <v>248</v>
      </c>
      <c r="DK1" s="95"/>
      <c r="DL1" s="95" t="s">
        <v>1085</v>
      </c>
      <c r="DM1" s="95" t="s">
        <v>248</v>
      </c>
      <c r="DN1" s="95"/>
      <c r="DO1" s="95" t="s">
        <v>1086</v>
      </c>
      <c r="DP1" s="95" t="s">
        <v>248</v>
      </c>
      <c r="DQ1" s="95"/>
      <c r="DR1" s="95" t="s">
        <v>1087</v>
      </c>
      <c r="DS1" s="95" t="s">
        <v>248</v>
      </c>
      <c r="DT1" s="95"/>
      <c r="DU1" s="95" t="s">
        <v>1088</v>
      </c>
      <c r="DV1" s="95" t="s">
        <v>248</v>
      </c>
      <c r="DW1" s="95"/>
      <c r="DX1" s="95" t="s">
        <v>1089</v>
      </c>
      <c r="DY1" s="95" t="s">
        <v>248</v>
      </c>
      <c r="DZ1" s="95"/>
      <c r="EA1" s="95" t="s">
        <v>1090</v>
      </c>
      <c r="EB1" s="95" t="s">
        <v>248</v>
      </c>
      <c r="EC1" s="95"/>
      <c r="ED1" s="95" t="s">
        <v>1091</v>
      </c>
      <c r="EE1" s="95" t="s">
        <v>248</v>
      </c>
      <c r="EF1" s="95"/>
      <c r="EG1" s="95" t="s">
        <v>1092</v>
      </c>
      <c r="EH1" s="95" t="s">
        <v>248</v>
      </c>
      <c r="EI1" s="95"/>
      <c r="EJ1" s="95" t="s">
        <v>1093</v>
      </c>
      <c r="EK1" s="95" t="s">
        <v>248</v>
      </c>
      <c r="EL1" s="95"/>
      <c r="EM1" s="95" t="s">
        <v>1094</v>
      </c>
      <c r="EN1" s="95" t="s">
        <v>248</v>
      </c>
      <c r="EO1" s="95"/>
      <c r="EP1" s="95" t="s">
        <v>1095</v>
      </c>
      <c r="EQ1" s="95" t="s">
        <v>248</v>
      </c>
      <c r="ER1" s="95"/>
      <c r="ES1" s="95" t="s">
        <v>1096</v>
      </c>
      <c r="ET1" s="95" t="s">
        <v>248</v>
      </c>
      <c r="EU1" s="95"/>
      <c r="EV1" s="95" t="s">
        <v>1097</v>
      </c>
      <c r="EW1" s="95" t="s">
        <v>248</v>
      </c>
      <c r="EX1" s="95"/>
      <c r="EY1" s="95" t="s">
        <v>1098</v>
      </c>
      <c r="EZ1" s="95" t="s">
        <v>248</v>
      </c>
      <c r="FA1" s="95"/>
      <c r="FB1" s="95" t="s">
        <v>1099</v>
      </c>
      <c r="FC1" s="95" t="s">
        <v>248</v>
      </c>
      <c r="FD1" s="95"/>
      <c r="FE1" s="95" t="s">
        <v>1100</v>
      </c>
      <c r="FF1" s="95" t="s">
        <v>248</v>
      </c>
      <c r="FG1" s="95"/>
      <c r="FH1" s="95" t="s">
        <v>1101</v>
      </c>
      <c r="FI1" s="95" t="s">
        <v>248</v>
      </c>
      <c r="FJ1" s="95"/>
      <c r="FK1" s="95" t="s">
        <v>249</v>
      </c>
      <c r="FL1" s="95" t="s">
        <v>248</v>
      </c>
      <c r="FM1" s="95"/>
      <c r="FN1" s="95" t="s">
        <v>248</v>
      </c>
      <c r="FO1" s="95" t="s">
        <v>249</v>
      </c>
      <c r="FP1" s="95"/>
      <c r="FQ1" s="95" t="s">
        <v>248</v>
      </c>
      <c r="FR1" s="95" t="s">
        <v>249</v>
      </c>
      <c r="FS1" s="95"/>
      <c r="FT1" s="95" t="s">
        <v>248</v>
      </c>
      <c r="FU1" s="95" t="s">
        <v>249</v>
      </c>
      <c r="FV1" s="95"/>
      <c r="FW1" s="95" t="s">
        <v>248</v>
      </c>
      <c r="FX1" s="95" t="s">
        <v>249</v>
      </c>
      <c r="FY1" s="95"/>
      <c r="FZ1" s="95" t="s">
        <v>248</v>
      </c>
      <c r="GA1" s="95" t="s">
        <v>249</v>
      </c>
      <c r="GB1" s="95"/>
      <c r="GC1" s="95" t="s">
        <v>248</v>
      </c>
      <c r="GD1" s="95" t="s">
        <v>249</v>
      </c>
      <c r="GE1" s="95"/>
      <c r="GF1" s="95" t="s">
        <v>248</v>
      </c>
      <c r="GG1" s="95" t="s">
        <v>249</v>
      </c>
      <c r="GH1" s="95"/>
      <c r="GI1" s="95" t="s">
        <v>248</v>
      </c>
      <c r="GJ1" s="95" t="s">
        <v>249</v>
      </c>
      <c r="GK1" s="95"/>
      <c r="GL1" s="95" t="s">
        <v>248</v>
      </c>
      <c r="GM1" s="95" t="s">
        <v>249</v>
      </c>
      <c r="GN1" s="95"/>
      <c r="GO1" s="95" t="s">
        <v>248</v>
      </c>
      <c r="GP1" s="95" t="s">
        <v>249</v>
      </c>
      <c r="GQ1" s="95"/>
      <c r="GR1" s="95" t="s">
        <v>248</v>
      </c>
      <c r="GS1" s="95" t="s">
        <v>249</v>
      </c>
      <c r="GT1" s="95"/>
      <c r="GU1" s="95" t="s">
        <v>248</v>
      </c>
      <c r="GV1" s="95" t="s">
        <v>249</v>
      </c>
    </row>
    <row r="2" spans="2:204" s="21" customFormat="1" x14ac:dyDescent="0.25">
      <c r="B2" s="93" t="s">
        <v>126</v>
      </c>
      <c r="C2" s="94" t="s">
        <v>2182</v>
      </c>
      <c r="D2" s="94"/>
      <c r="E2" s="93" t="s">
        <v>137</v>
      </c>
      <c r="F2" s="94" t="s">
        <v>2050</v>
      </c>
      <c r="G2" s="94"/>
      <c r="H2" s="93" t="s">
        <v>148</v>
      </c>
      <c r="I2" s="94" t="s">
        <v>1169</v>
      </c>
      <c r="J2" s="94"/>
      <c r="K2" s="94"/>
      <c r="L2" s="94"/>
      <c r="M2" s="94"/>
      <c r="N2" s="94"/>
      <c r="O2" s="94"/>
      <c r="P2" s="94"/>
      <c r="Q2" s="93"/>
      <c r="R2" s="94"/>
      <c r="S2" s="94"/>
      <c r="T2" s="93"/>
      <c r="U2" s="94"/>
      <c r="V2" s="94"/>
      <c r="W2" s="94" t="s">
        <v>854</v>
      </c>
      <c r="X2" s="94" t="s">
        <v>1102</v>
      </c>
      <c r="Y2" s="94"/>
      <c r="Z2" s="93"/>
      <c r="AA2" s="94"/>
      <c r="AB2" s="94"/>
      <c r="AC2" s="94" t="s">
        <v>192</v>
      </c>
      <c r="AD2" s="94" t="s">
        <v>1106</v>
      </c>
      <c r="AE2" s="94"/>
      <c r="AF2" s="93"/>
      <c r="AG2" s="94"/>
      <c r="AH2" s="94"/>
      <c r="AI2" s="94"/>
      <c r="AJ2" s="94"/>
      <c r="AK2" s="94"/>
      <c r="AL2" s="94" t="s">
        <v>11</v>
      </c>
      <c r="AM2" s="94" t="s">
        <v>1273</v>
      </c>
      <c r="AN2" s="94"/>
      <c r="AO2" s="94" t="s">
        <v>12</v>
      </c>
      <c r="AP2" s="94" t="s">
        <v>1110</v>
      </c>
      <c r="AQ2" s="94"/>
      <c r="AR2" s="94" t="s">
        <v>304</v>
      </c>
      <c r="AS2" s="94" t="s">
        <v>513</v>
      </c>
      <c r="AT2" s="94"/>
      <c r="AU2" s="94"/>
      <c r="AV2" s="94"/>
      <c r="AW2" s="94"/>
      <c r="AX2" s="94" t="s">
        <v>522</v>
      </c>
      <c r="AY2" s="94" t="s">
        <v>1112</v>
      </c>
      <c r="AZ2" s="94"/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94"/>
      <c r="BP2" s="94"/>
      <c r="BQ2" s="97"/>
      <c r="BR2" s="94"/>
      <c r="BS2" s="94"/>
      <c r="BT2" s="94"/>
      <c r="BU2" s="94"/>
      <c r="BV2" s="94"/>
      <c r="BW2" s="94"/>
      <c r="BX2" s="94"/>
      <c r="BY2" s="98"/>
      <c r="BZ2" s="98"/>
      <c r="CA2" s="94"/>
      <c r="CB2" s="94"/>
      <c r="CC2" s="94"/>
      <c r="CD2" s="94"/>
      <c r="CE2" s="94"/>
      <c r="CF2" s="94"/>
      <c r="CG2" s="94"/>
      <c r="CH2" s="94"/>
      <c r="CI2" s="94"/>
      <c r="CJ2" s="94"/>
      <c r="CK2" s="94"/>
      <c r="CL2" s="94"/>
      <c r="CM2" s="94"/>
      <c r="CN2" s="94"/>
      <c r="CO2" s="94"/>
      <c r="CP2" s="94"/>
      <c r="CQ2" s="94"/>
      <c r="CR2" s="94"/>
      <c r="CS2" s="94"/>
      <c r="CT2" s="94"/>
      <c r="CU2" s="94"/>
      <c r="CV2" s="94"/>
      <c r="CW2" s="94"/>
      <c r="CX2" s="94"/>
      <c r="CY2" s="94"/>
      <c r="CZ2" s="94"/>
      <c r="DA2" s="94"/>
      <c r="DB2" s="94"/>
      <c r="DC2" s="94"/>
      <c r="DD2" s="94"/>
      <c r="DE2" s="94"/>
      <c r="DF2" s="94"/>
      <c r="DG2" s="94"/>
      <c r="DH2" s="94"/>
      <c r="DI2" s="94"/>
      <c r="DJ2" s="94"/>
      <c r="DK2" s="94"/>
      <c r="DL2" s="94"/>
      <c r="DM2" s="94"/>
      <c r="DN2" s="94"/>
      <c r="DO2" s="94"/>
      <c r="DP2" s="94"/>
      <c r="DQ2" s="94"/>
      <c r="DR2" s="94"/>
      <c r="DS2" s="94"/>
      <c r="DT2" s="94"/>
      <c r="DU2" s="94"/>
      <c r="DV2" s="94"/>
      <c r="DW2" s="94"/>
      <c r="DX2" s="94"/>
      <c r="DY2" s="94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  <c r="FL2" s="94"/>
      <c r="FM2" s="94"/>
      <c r="FN2" s="94"/>
      <c r="FO2" s="94"/>
      <c r="FP2" s="94"/>
      <c r="FQ2" s="94"/>
      <c r="FR2" s="94"/>
      <c r="FS2" s="94"/>
      <c r="FT2" s="94"/>
      <c r="FU2" s="94"/>
      <c r="FV2" s="94"/>
      <c r="FW2" s="94"/>
      <c r="FX2" s="94"/>
      <c r="FY2" s="94"/>
      <c r="FZ2" s="94"/>
      <c r="GA2" s="94"/>
      <c r="GB2" s="94"/>
      <c r="GC2" s="94"/>
      <c r="GD2" s="94"/>
      <c r="GE2" s="94"/>
      <c r="GF2" s="94"/>
      <c r="GG2" s="94"/>
      <c r="GH2" s="94"/>
      <c r="GI2" s="94"/>
      <c r="GJ2" s="94"/>
      <c r="GK2" s="94"/>
      <c r="GL2" s="94"/>
      <c r="GM2" s="94"/>
      <c r="GN2" s="94"/>
      <c r="GO2" s="94"/>
      <c r="GP2" s="94"/>
      <c r="GQ2" s="94"/>
      <c r="GR2" s="94"/>
      <c r="GS2" s="94"/>
      <c r="GT2" s="94"/>
      <c r="GU2" s="94"/>
      <c r="GV2" s="94"/>
    </row>
    <row r="3" spans="2:204" s="21" customFormat="1" x14ac:dyDescent="0.25">
      <c r="B3" s="93"/>
      <c r="C3" s="94"/>
      <c r="D3" s="94"/>
      <c r="E3" s="93"/>
      <c r="F3" s="94"/>
      <c r="G3" s="94"/>
      <c r="H3" s="93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3"/>
      <c r="U3" s="94"/>
      <c r="V3" s="94"/>
      <c r="W3" s="94"/>
      <c r="X3" s="94"/>
      <c r="Y3" s="94"/>
      <c r="Z3" s="93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4"/>
      <c r="AL3" s="94"/>
      <c r="AM3" s="94"/>
      <c r="AN3" s="94"/>
      <c r="AO3" s="94"/>
      <c r="AP3" s="94"/>
      <c r="AQ3" s="94"/>
      <c r="AR3" s="94"/>
      <c r="AS3" s="94"/>
      <c r="AT3" s="94"/>
      <c r="AU3" s="94"/>
      <c r="AV3" s="94"/>
      <c r="AW3" s="94"/>
      <c r="AX3" s="94"/>
      <c r="AY3" s="94"/>
      <c r="AZ3" s="94"/>
      <c r="BA3" s="94"/>
      <c r="BB3" s="94"/>
      <c r="BC3" s="94"/>
      <c r="BD3" s="94"/>
      <c r="BE3" s="94"/>
      <c r="BF3" s="94"/>
      <c r="BG3" s="94"/>
      <c r="BH3" s="94"/>
      <c r="BI3" s="94"/>
      <c r="BJ3" s="94"/>
      <c r="BK3" s="94"/>
      <c r="BL3" s="94"/>
      <c r="BM3" s="94"/>
      <c r="BN3" s="94"/>
      <c r="BO3" s="94"/>
      <c r="BP3" s="94"/>
      <c r="BQ3" s="94"/>
      <c r="BR3" s="94"/>
      <c r="BS3" s="94"/>
      <c r="BT3" s="94"/>
      <c r="BU3" s="94"/>
      <c r="BV3" s="94"/>
      <c r="BW3" s="94"/>
      <c r="BX3" s="94"/>
      <c r="BY3" s="94"/>
      <c r="BZ3" s="94"/>
      <c r="CA3" s="94"/>
      <c r="CB3" s="94"/>
      <c r="CC3" s="94"/>
      <c r="CD3" s="94"/>
      <c r="CE3" s="94"/>
      <c r="CF3" s="94"/>
      <c r="CG3" s="94"/>
      <c r="CH3" s="94"/>
      <c r="CI3" s="94"/>
      <c r="CJ3" s="94"/>
      <c r="CK3" s="94"/>
      <c r="CL3" s="94"/>
      <c r="CM3" s="94"/>
      <c r="CN3" s="94"/>
      <c r="CO3" s="94"/>
      <c r="CP3" s="94"/>
      <c r="CQ3" s="94"/>
      <c r="CR3" s="94"/>
      <c r="CS3" s="94"/>
      <c r="CT3" s="94"/>
      <c r="CU3" s="94"/>
      <c r="CV3" s="94"/>
      <c r="CW3" s="94"/>
      <c r="CX3" s="94"/>
      <c r="CY3" s="94"/>
      <c r="CZ3" s="94"/>
      <c r="DA3" s="94"/>
      <c r="DB3" s="94"/>
      <c r="DC3" s="94"/>
      <c r="DD3" s="94"/>
      <c r="DE3" s="94"/>
      <c r="DF3" s="94"/>
      <c r="DG3" s="94"/>
      <c r="DH3" s="94"/>
      <c r="DI3" s="94"/>
      <c r="DJ3" s="94"/>
      <c r="DK3" s="94"/>
      <c r="DL3" s="94"/>
      <c r="DM3" s="94"/>
      <c r="DN3" s="94"/>
      <c r="DO3" s="94"/>
      <c r="DP3" s="94"/>
      <c r="DQ3" s="94"/>
      <c r="DR3" s="94"/>
      <c r="DS3" s="94"/>
      <c r="DT3" s="94"/>
      <c r="DU3" s="94"/>
      <c r="DV3" s="94"/>
      <c r="DW3" s="94"/>
      <c r="DX3" s="94"/>
      <c r="DY3" s="94"/>
      <c r="DZ3" s="94"/>
      <c r="EA3" s="94"/>
      <c r="EB3" s="94"/>
      <c r="EC3" s="94"/>
      <c r="ED3" s="94"/>
      <c r="EE3" s="94"/>
      <c r="EF3" s="94"/>
      <c r="EG3" s="94"/>
      <c r="EH3" s="94"/>
      <c r="EI3" s="94"/>
      <c r="EJ3" s="94"/>
      <c r="EK3" s="94"/>
      <c r="EL3" s="94"/>
      <c r="EM3" s="94"/>
      <c r="EN3" s="94"/>
      <c r="EO3" s="94"/>
      <c r="EP3" s="94"/>
      <c r="EQ3" s="94"/>
      <c r="ER3" s="94"/>
      <c r="ES3" s="94"/>
      <c r="ET3" s="94"/>
      <c r="EU3" s="94"/>
      <c r="EV3" s="94"/>
      <c r="EW3" s="94"/>
      <c r="EX3" s="94"/>
      <c r="EY3" s="94"/>
      <c r="EZ3" s="94"/>
      <c r="FA3" s="94"/>
      <c r="FB3" s="94"/>
      <c r="FC3" s="94"/>
      <c r="FD3" s="94"/>
      <c r="FE3" s="94"/>
      <c r="FF3" s="94"/>
      <c r="FG3" s="94"/>
      <c r="FH3" s="94"/>
      <c r="FI3" s="94"/>
      <c r="FJ3" s="94"/>
      <c r="FK3" s="94"/>
      <c r="FL3" s="94"/>
      <c r="FM3" s="94"/>
      <c r="FN3" s="94"/>
      <c r="FO3" s="94"/>
      <c r="FP3" s="94"/>
      <c r="FQ3" s="94"/>
      <c r="FR3" s="94"/>
      <c r="FS3" s="94"/>
      <c r="FT3" s="94"/>
      <c r="FU3" s="94"/>
      <c r="FV3" s="94"/>
      <c r="FW3" s="94"/>
      <c r="FX3" s="94"/>
      <c r="FY3" s="94"/>
      <c r="FZ3" s="94"/>
      <c r="GA3" s="94"/>
      <c r="GB3" s="94"/>
      <c r="GC3" s="94"/>
      <c r="GD3" s="94"/>
      <c r="GE3" s="94"/>
      <c r="GF3" s="94"/>
      <c r="GG3" s="94"/>
      <c r="GH3" s="94"/>
      <c r="GI3" s="94"/>
      <c r="GJ3" s="94"/>
      <c r="GK3" s="94"/>
      <c r="GL3" s="94"/>
      <c r="GM3" s="94"/>
      <c r="GN3" s="94"/>
      <c r="GO3" s="94"/>
      <c r="GP3" s="94"/>
      <c r="GQ3" s="94"/>
      <c r="GR3" s="94"/>
      <c r="GS3" s="94"/>
      <c r="GT3" s="94"/>
      <c r="GU3" s="94"/>
      <c r="GV3" s="94"/>
    </row>
    <row r="4" spans="2:204" s="21" customFormat="1" x14ac:dyDescent="0.25">
      <c r="B4" s="93"/>
      <c r="C4" s="94"/>
      <c r="D4" s="94"/>
      <c r="E4" s="93"/>
      <c r="F4" s="94"/>
      <c r="G4" s="94"/>
      <c r="H4" s="93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3"/>
      <c r="U4" s="94"/>
      <c r="V4" s="94"/>
      <c r="W4" s="94"/>
      <c r="X4" s="94"/>
      <c r="Y4" s="94"/>
      <c r="Z4" s="93"/>
      <c r="AA4" s="94"/>
      <c r="AB4" s="94"/>
      <c r="AC4" s="94"/>
      <c r="AD4" s="94"/>
      <c r="AE4" s="94"/>
      <c r="AF4" s="94"/>
      <c r="AG4" s="94"/>
      <c r="AH4" s="94"/>
      <c r="AI4" s="94"/>
      <c r="AJ4" s="94"/>
      <c r="AK4" s="94"/>
      <c r="AL4" s="94"/>
      <c r="AM4" s="94"/>
      <c r="AN4" s="94"/>
      <c r="AO4" s="94"/>
      <c r="AP4" s="94"/>
      <c r="AQ4" s="94"/>
      <c r="AR4" s="94"/>
      <c r="AS4" s="94"/>
      <c r="AT4" s="94"/>
      <c r="AU4" s="94"/>
      <c r="AV4" s="94"/>
      <c r="AW4" s="94"/>
      <c r="AX4" s="94"/>
      <c r="AY4" s="94"/>
      <c r="AZ4" s="94"/>
      <c r="BA4" s="94"/>
      <c r="BB4" s="94"/>
      <c r="BC4" s="94"/>
      <c r="BD4" s="94"/>
      <c r="BE4" s="94"/>
      <c r="BF4" s="94"/>
      <c r="BG4" s="94"/>
      <c r="BH4" s="94"/>
      <c r="BI4" s="94"/>
      <c r="BJ4" s="94"/>
      <c r="BK4" s="94"/>
      <c r="BL4" s="94"/>
      <c r="BM4" s="94"/>
      <c r="BN4" s="94"/>
      <c r="BO4" s="94"/>
      <c r="BP4" s="94"/>
      <c r="BQ4" s="94"/>
      <c r="BR4" s="94"/>
      <c r="BS4" s="94"/>
      <c r="BT4" s="94"/>
      <c r="BU4" s="94"/>
      <c r="BV4" s="94"/>
      <c r="BW4" s="94"/>
      <c r="BX4" s="94"/>
      <c r="BY4" s="94"/>
      <c r="BZ4" s="94"/>
      <c r="CA4" s="94"/>
      <c r="CB4" s="94"/>
      <c r="CC4" s="94"/>
      <c r="CD4" s="94"/>
      <c r="CE4" s="94"/>
      <c r="CF4" s="94"/>
      <c r="CG4" s="94"/>
      <c r="CH4" s="94"/>
      <c r="CI4" s="94"/>
      <c r="CJ4" s="94"/>
      <c r="CK4" s="94"/>
      <c r="CL4" s="94"/>
      <c r="CM4" s="94"/>
      <c r="CN4" s="94"/>
      <c r="CO4" s="94"/>
      <c r="CP4" s="94"/>
      <c r="CQ4" s="94"/>
      <c r="CR4" s="94"/>
      <c r="CS4" s="94"/>
      <c r="CT4" s="94"/>
      <c r="CU4" s="94"/>
      <c r="CV4" s="94"/>
      <c r="CW4" s="94"/>
      <c r="CX4" s="94"/>
      <c r="CY4" s="94"/>
      <c r="CZ4" s="94"/>
      <c r="DA4" s="94"/>
      <c r="DB4" s="94"/>
      <c r="DC4" s="94"/>
      <c r="DD4" s="94"/>
      <c r="DE4" s="94"/>
      <c r="DF4" s="94"/>
      <c r="DG4" s="94"/>
      <c r="DH4" s="94"/>
      <c r="DI4" s="94"/>
      <c r="DJ4" s="94"/>
      <c r="DK4" s="94"/>
      <c r="DL4" s="94"/>
      <c r="DM4" s="94"/>
      <c r="DN4" s="94"/>
      <c r="DO4" s="94"/>
      <c r="DP4" s="94"/>
      <c r="DQ4" s="94"/>
      <c r="DR4" s="94"/>
      <c r="DS4" s="94"/>
      <c r="DT4" s="94"/>
      <c r="DU4" s="94"/>
      <c r="DV4" s="94"/>
      <c r="DW4" s="94"/>
      <c r="DX4" s="94"/>
      <c r="DY4" s="94"/>
      <c r="DZ4" s="94"/>
      <c r="EA4" s="94"/>
      <c r="EB4" s="94"/>
      <c r="EC4" s="94"/>
      <c r="ED4" s="94"/>
      <c r="EE4" s="94"/>
      <c r="EF4" s="94"/>
      <c r="EG4" s="94"/>
      <c r="EH4" s="94"/>
      <c r="EI4" s="94"/>
      <c r="EJ4" s="94"/>
      <c r="EK4" s="94"/>
      <c r="EL4" s="94"/>
      <c r="EM4" s="94"/>
      <c r="EN4" s="94"/>
      <c r="EO4" s="94"/>
      <c r="EP4" s="94"/>
      <c r="EQ4" s="94"/>
      <c r="ER4" s="94"/>
      <c r="ES4" s="94"/>
      <c r="ET4" s="94"/>
      <c r="EU4" s="94"/>
      <c r="EV4" s="94"/>
      <c r="EW4" s="94"/>
      <c r="EX4" s="94"/>
      <c r="EY4" s="94"/>
      <c r="EZ4" s="94"/>
      <c r="FA4" s="94"/>
      <c r="FB4" s="94"/>
      <c r="FC4" s="94"/>
      <c r="FD4" s="94"/>
      <c r="FE4" s="94"/>
      <c r="FF4" s="94"/>
      <c r="FG4" s="94"/>
      <c r="FH4" s="94"/>
      <c r="FI4" s="94"/>
      <c r="FJ4" s="94"/>
      <c r="FK4" s="94"/>
      <c r="FL4" s="94"/>
      <c r="FM4" s="94"/>
      <c r="FN4" s="94"/>
      <c r="FO4" s="94"/>
      <c r="FP4" s="94"/>
      <c r="FQ4" s="94"/>
      <c r="FR4" s="94"/>
      <c r="FS4" s="94"/>
      <c r="FT4" s="94"/>
      <c r="FU4" s="94"/>
      <c r="FV4" s="94"/>
      <c r="FW4" s="94"/>
      <c r="FX4" s="94"/>
      <c r="FY4" s="94"/>
      <c r="FZ4" s="94"/>
      <c r="GA4" s="94"/>
      <c r="GB4" s="94"/>
      <c r="GC4" s="94"/>
      <c r="GD4" s="94"/>
      <c r="GE4" s="94"/>
      <c r="GF4" s="94"/>
      <c r="GG4" s="94"/>
      <c r="GH4" s="94"/>
      <c r="GI4" s="94"/>
      <c r="GJ4" s="94"/>
      <c r="GK4" s="94"/>
      <c r="GL4" s="94"/>
      <c r="GM4" s="94"/>
      <c r="GN4" s="94"/>
      <c r="GO4" s="94"/>
      <c r="GP4" s="94"/>
      <c r="GQ4" s="94"/>
      <c r="GR4" s="94"/>
      <c r="GS4" s="94"/>
      <c r="GT4" s="94"/>
      <c r="GU4" s="94"/>
      <c r="GV4" s="94"/>
    </row>
    <row r="5" spans="2:204" s="21" customFormat="1" x14ac:dyDescent="0.25">
      <c r="B5" s="93"/>
      <c r="C5" s="94"/>
      <c r="D5" s="94"/>
      <c r="E5" s="93"/>
      <c r="F5" s="94"/>
      <c r="G5" s="94"/>
      <c r="H5" s="93"/>
      <c r="I5" s="94"/>
      <c r="J5" s="94"/>
      <c r="K5" s="94"/>
      <c r="L5" s="94"/>
      <c r="M5" s="94"/>
      <c r="N5" s="94"/>
      <c r="O5" s="94"/>
      <c r="P5" s="94"/>
      <c r="Q5" s="94"/>
      <c r="R5" s="94"/>
      <c r="S5" s="94"/>
      <c r="T5" s="93"/>
      <c r="U5" s="94"/>
      <c r="V5" s="94"/>
      <c r="W5" s="94"/>
      <c r="X5" s="94"/>
      <c r="Y5" s="94"/>
      <c r="Z5" s="93"/>
      <c r="AA5" s="94"/>
      <c r="AB5" s="94"/>
      <c r="AC5" s="94"/>
      <c r="AD5" s="94"/>
      <c r="AE5" s="94"/>
      <c r="AF5" s="94"/>
      <c r="AG5" s="94"/>
      <c r="AH5" s="94"/>
      <c r="AI5" s="94"/>
      <c r="AJ5" s="94"/>
      <c r="AK5" s="94"/>
      <c r="AL5" s="94"/>
      <c r="AM5" s="94"/>
      <c r="AN5" s="94"/>
      <c r="AO5" s="94"/>
      <c r="AP5" s="94"/>
      <c r="AQ5" s="94"/>
      <c r="AR5" s="94"/>
      <c r="AS5" s="94"/>
      <c r="AT5" s="94"/>
      <c r="AU5" s="94"/>
      <c r="AV5" s="94"/>
      <c r="AW5" s="94"/>
      <c r="AX5" s="94"/>
      <c r="AY5" s="94"/>
      <c r="AZ5" s="94"/>
      <c r="BA5" s="94"/>
      <c r="BB5" s="94"/>
      <c r="BC5" s="94"/>
      <c r="BD5" s="94"/>
      <c r="BE5" s="94"/>
      <c r="BF5" s="94"/>
      <c r="BG5" s="94"/>
      <c r="BH5" s="94"/>
      <c r="BI5" s="94"/>
      <c r="BJ5" s="94"/>
      <c r="BK5" s="94"/>
      <c r="BL5" s="94"/>
      <c r="BM5" s="94"/>
      <c r="BN5" s="94"/>
      <c r="BO5" s="94"/>
      <c r="BP5" s="94"/>
      <c r="BQ5" s="94"/>
      <c r="BR5" s="94"/>
      <c r="BS5" s="94"/>
      <c r="BT5" s="94"/>
      <c r="BU5" s="94"/>
      <c r="BV5" s="94"/>
      <c r="BW5" s="94"/>
      <c r="BX5" s="94"/>
      <c r="BY5" s="94"/>
      <c r="BZ5" s="94"/>
      <c r="CA5" s="94"/>
      <c r="CB5" s="94"/>
      <c r="CC5" s="94"/>
      <c r="CD5" s="94"/>
      <c r="CE5" s="94"/>
      <c r="CF5" s="94"/>
      <c r="CG5" s="94"/>
      <c r="CH5" s="94"/>
      <c r="CI5" s="94"/>
      <c r="CJ5" s="94"/>
      <c r="CK5" s="94"/>
      <c r="CL5" s="94"/>
      <c r="CM5" s="94"/>
      <c r="CN5" s="94"/>
      <c r="CO5" s="94"/>
      <c r="CP5" s="94"/>
      <c r="CQ5" s="94"/>
      <c r="CR5" s="94"/>
      <c r="CS5" s="94"/>
      <c r="CT5" s="94"/>
      <c r="CU5" s="94"/>
      <c r="CV5" s="94"/>
      <c r="CW5" s="94"/>
      <c r="CX5" s="94"/>
      <c r="CY5" s="94"/>
      <c r="CZ5" s="94"/>
      <c r="DA5" s="94"/>
      <c r="DB5" s="94"/>
      <c r="DC5" s="94"/>
      <c r="DD5" s="94"/>
      <c r="DE5" s="94"/>
      <c r="DF5" s="94"/>
      <c r="DG5" s="94"/>
      <c r="DH5" s="94"/>
      <c r="DI5" s="94"/>
      <c r="DJ5" s="94"/>
      <c r="DK5" s="94"/>
      <c r="DL5" s="94"/>
      <c r="DM5" s="94"/>
      <c r="DN5" s="94"/>
      <c r="DO5" s="94"/>
      <c r="DP5" s="94"/>
      <c r="DQ5" s="94"/>
      <c r="DR5" s="94"/>
      <c r="DS5" s="94"/>
      <c r="DT5" s="94"/>
      <c r="DU5" s="94"/>
      <c r="DV5" s="94"/>
      <c r="DW5" s="94"/>
      <c r="DX5" s="94"/>
      <c r="DY5" s="94"/>
      <c r="DZ5" s="94"/>
      <c r="EA5" s="94"/>
      <c r="EB5" s="94"/>
      <c r="EC5" s="94"/>
      <c r="ED5" s="94"/>
      <c r="EE5" s="94"/>
      <c r="EF5" s="94"/>
      <c r="EG5" s="94"/>
      <c r="EH5" s="94"/>
      <c r="EI5" s="94"/>
      <c r="EJ5" s="94"/>
      <c r="EK5" s="94"/>
      <c r="EL5" s="94"/>
      <c r="EM5" s="94"/>
      <c r="EN5" s="94"/>
      <c r="EO5" s="94"/>
      <c r="EP5" s="94"/>
      <c r="EQ5" s="94"/>
      <c r="ER5" s="94"/>
      <c r="ES5" s="94"/>
      <c r="ET5" s="94"/>
      <c r="EU5" s="94"/>
      <c r="EV5" s="94"/>
      <c r="EW5" s="94"/>
      <c r="EX5" s="94"/>
      <c r="EY5" s="94"/>
      <c r="EZ5" s="94"/>
      <c r="FA5" s="94"/>
      <c r="FB5" s="94"/>
      <c r="FC5" s="94"/>
      <c r="FD5" s="94"/>
      <c r="FE5" s="94"/>
      <c r="FF5" s="94"/>
      <c r="FG5" s="94"/>
      <c r="FH5" s="94"/>
      <c r="FI5" s="94"/>
      <c r="FJ5" s="94"/>
      <c r="FK5" s="94"/>
      <c r="FL5" s="94"/>
      <c r="FM5" s="94"/>
      <c r="FN5" s="94"/>
      <c r="FO5" s="94"/>
      <c r="FP5" s="94"/>
      <c r="FQ5" s="94"/>
      <c r="FR5" s="94"/>
      <c r="FS5" s="94"/>
      <c r="FT5" s="94"/>
      <c r="FU5" s="94"/>
      <c r="FV5" s="94"/>
      <c r="FW5" s="94"/>
      <c r="FX5" s="94"/>
      <c r="FY5" s="94"/>
      <c r="FZ5" s="94"/>
      <c r="GA5" s="94"/>
      <c r="GB5" s="94"/>
      <c r="GC5" s="94"/>
      <c r="GD5" s="94"/>
      <c r="GE5" s="94"/>
      <c r="GF5" s="94"/>
      <c r="GG5" s="94"/>
      <c r="GH5" s="94"/>
      <c r="GI5" s="94"/>
      <c r="GJ5" s="94"/>
      <c r="GK5" s="94"/>
      <c r="GL5" s="94"/>
      <c r="GM5" s="94"/>
      <c r="GN5" s="94"/>
      <c r="GO5" s="94"/>
      <c r="GP5" s="94"/>
      <c r="GQ5" s="94"/>
      <c r="GR5" s="94"/>
      <c r="GS5" s="94"/>
      <c r="GT5" s="94"/>
      <c r="GU5" s="94"/>
      <c r="GV5" s="94"/>
    </row>
    <row r="6" spans="2:204" s="21" customFormat="1" x14ac:dyDescent="0.25">
      <c r="B6" s="93"/>
      <c r="C6" s="94"/>
      <c r="D6" s="94"/>
      <c r="E6" s="94"/>
      <c r="F6" s="94"/>
      <c r="G6" s="94"/>
      <c r="H6" s="93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3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I6" s="94"/>
      <c r="AJ6" s="94"/>
      <c r="AK6" s="94"/>
      <c r="AL6" s="94"/>
      <c r="AM6" s="94"/>
      <c r="AN6" s="94"/>
      <c r="AO6" s="94"/>
      <c r="AP6" s="94"/>
      <c r="AQ6" s="94"/>
      <c r="AR6" s="94"/>
      <c r="AS6" s="94"/>
      <c r="AT6" s="94"/>
      <c r="AU6" s="94"/>
      <c r="AV6" s="94"/>
      <c r="AW6" s="94"/>
      <c r="AX6" s="94"/>
      <c r="AY6" s="94"/>
      <c r="AZ6" s="94"/>
      <c r="BA6" s="94"/>
      <c r="BB6" s="94"/>
      <c r="BC6" s="94"/>
      <c r="BD6" s="94"/>
      <c r="BE6" s="94"/>
      <c r="BF6" s="94"/>
      <c r="BG6" s="94"/>
      <c r="BH6" s="94"/>
      <c r="BI6" s="94"/>
      <c r="BJ6" s="94"/>
      <c r="BK6" s="94"/>
      <c r="BL6" s="94"/>
      <c r="BM6" s="94"/>
      <c r="BN6" s="94"/>
      <c r="BO6" s="94"/>
      <c r="BP6" s="94"/>
      <c r="BQ6" s="94"/>
      <c r="BR6" s="94"/>
      <c r="BS6" s="94"/>
      <c r="BT6" s="94"/>
      <c r="BU6" s="94"/>
      <c r="BV6" s="94"/>
      <c r="BW6" s="94"/>
      <c r="BX6" s="94"/>
      <c r="BY6" s="94"/>
      <c r="BZ6" s="94"/>
      <c r="CA6" s="94"/>
      <c r="CB6" s="94"/>
      <c r="CC6" s="94"/>
      <c r="CD6" s="94"/>
      <c r="CE6" s="94"/>
      <c r="CF6" s="94"/>
      <c r="CG6" s="94"/>
      <c r="CH6" s="94"/>
      <c r="CI6" s="94"/>
      <c r="CJ6" s="94"/>
      <c r="CK6" s="94"/>
      <c r="CL6" s="94"/>
      <c r="CM6" s="94"/>
      <c r="CN6" s="94"/>
      <c r="CO6" s="94"/>
      <c r="CP6" s="94"/>
      <c r="CQ6" s="94"/>
      <c r="CR6" s="94"/>
      <c r="CS6" s="94"/>
      <c r="CT6" s="94"/>
      <c r="CU6" s="94"/>
      <c r="CV6" s="94"/>
      <c r="CW6" s="94"/>
      <c r="CX6" s="94"/>
      <c r="CY6" s="94"/>
      <c r="CZ6" s="94"/>
      <c r="DA6" s="94"/>
      <c r="DB6" s="94"/>
      <c r="DC6" s="94"/>
      <c r="DD6" s="94"/>
      <c r="DE6" s="94"/>
      <c r="DF6" s="94"/>
      <c r="DG6" s="94"/>
      <c r="DH6" s="94"/>
      <c r="DI6" s="94"/>
      <c r="DJ6" s="94"/>
      <c r="DK6" s="94"/>
      <c r="DL6" s="94"/>
      <c r="DM6" s="94"/>
      <c r="DN6" s="94"/>
      <c r="DO6" s="94"/>
      <c r="DP6" s="94"/>
      <c r="DQ6" s="94"/>
      <c r="DR6" s="94"/>
      <c r="DS6" s="94"/>
      <c r="DT6" s="94"/>
      <c r="DU6" s="94"/>
      <c r="DV6" s="94"/>
      <c r="DW6" s="94"/>
      <c r="DX6" s="94"/>
      <c r="DY6" s="94"/>
      <c r="DZ6" s="94"/>
      <c r="EA6" s="94"/>
      <c r="EB6" s="94"/>
      <c r="EC6" s="94"/>
      <c r="ED6" s="94"/>
      <c r="EE6" s="94"/>
      <c r="EF6" s="94"/>
      <c r="EG6" s="94"/>
      <c r="EH6" s="94"/>
      <c r="EI6" s="94"/>
      <c r="EJ6" s="94"/>
      <c r="EK6" s="94"/>
      <c r="EL6" s="94"/>
      <c r="EM6" s="94"/>
      <c r="EN6" s="94"/>
      <c r="EO6" s="94"/>
      <c r="EP6" s="94"/>
      <c r="EQ6" s="94"/>
      <c r="ER6" s="94"/>
      <c r="ES6" s="94"/>
      <c r="ET6" s="94"/>
      <c r="EU6" s="94"/>
      <c r="EV6" s="94"/>
      <c r="EW6" s="94"/>
      <c r="EX6" s="94"/>
      <c r="EY6" s="94"/>
      <c r="EZ6" s="94"/>
      <c r="FA6" s="94"/>
      <c r="FB6" s="94"/>
      <c r="FC6" s="94"/>
      <c r="FD6" s="94"/>
      <c r="FE6" s="94"/>
      <c r="FF6" s="94"/>
      <c r="FG6" s="94"/>
      <c r="FH6" s="94"/>
      <c r="FI6" s="94"/>
      <c r="FJ6" s="94"/>
      <c r="FK6" s="94"/>
      <c r="FL6" s="94"/>
      <c r="FM6" s="94"/>
      <c r="FN6" s="94"/>
      <c r="FO6" s="94"/>
      <c r="FP6" s="94"/>
      <c r="FQ6" s="94"/>
      <c r="FR6" s="94"/>
      <c r="FS6" s="94"/>
      <c r="FT6" s="94"/>
      <c r="FU6" s="94"/>
      <c r="FV6" s="94"/>
      <c r="FW6" s="94"/>
      <c r="FX6" s="94"/>
      <c r="FY6" s="94"/>
      <c r="FZ6" s="94"/>
      <c r="GA6" s="94"/>
      <c r="GB6" s="94"/>
      <c r="GC6" s="94"/>
      <c r="GD6" s="94"/>
      <c r="GE6" s="94"/>
      <c r="GF6" s="94"/>
      <c r="GG6" s="94"/>
      <c r="GH6" s="94"/>
      <c r="GI6" s="94"/>
      <c r="GJ6" s="94"/>
      <c r="GK6" s="94"/>
      <c r="GL6" s="94"/>
      <c r="GM6" s="94"/>
      <c r="GN6" s="94"/>
      <c r="GO6" s="94"/>
      <c r="GP6" s="94"/>
      <c r="GQ6" s="94"/>
      <c r="GR6" s="94"/>
      <c r="GS6" s="94"/>
      <c r="GT6" s="94"/>
      <c r="GU6" s="94"/>
      <c r="GV6" s="94"/>
    </row>
    <row r="7" spans="2:204" s="21" customFormat="1" x14ac:dyDescent="0.25">
      <c r="B7" s="93"/>
      <c r="C7" s="94"/>
      <c r="D7" s="94"/>
      <c r="E7" s="94"/>
      <c r="F7" s="94"/>
      <c r="G7" s="94"/>
      <c r="H7" s="93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3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94"/>
      <c r="AO7" s="94"/>
      <c r="AP7" s="94"/>
      <c r="AQ7" s="94"/>
      <c r="AR7" s="94"/>
      <c r="AS7" s="94"/>
      <c r="AT7" s="94"/>
      <c r="AU7" s="94"/>
      <c r="AV7" s="94"/>
      <c r="AW7" s="94"/>
      <c r="AX7" s="94"/>
      <c r="AY7" s="94"/>
      <c r="AZ7" s="94"/>
      <c r="BA7" s="94"/>
      <c r="BB7" s="94"/>
      <c r="BC7" s="94"/>
      <c r="BD7" s="94"/>
      <c r="BE7" s="94"/>
      <c r="BF7" s="94"/>
      <c r="BG7" s="94"/>
      <c r="BH7" s="94"/>
      <c r="BI7" s="94"/>
      <c r="BJ7" s="94"/>
      <c r="BK7" s="94"/>
      <c r="BL7" s="94"/>
      <c r="BM7" s="94"/>
      <c r="BN7" s="94"/>
      <c r="BO7" s="94"/>
      <c r="BP7" s="94"/>
      <c r="BQ7" s="94"/>
      <c r="BR7" s="94"/>
      <c r="BS7" s="94"/>
      <c r="BT7" s="94"/>
      <c r="BU7" s="94"/>
      <c r="BV7" s="94"/>
      <c r="BW7" s="94"/>
      <c r="BX7" s="94"/>
      <c r="BY7" s="94"/>
      <c r="BZ7" s="94"/>
      <c r="CA7" s="94"/>
      <c r="CB7" s="94"/>
      <c r="CC7" s="94"/>
      <c r="CD7" s="94"/>
      <c r="CE7" s="94"/>
      <c r="CF7" s="94"/>
      <c r="CG7" s="94"/>
      <c r="CH7" s="94"/>
      <c r="CI7" s="94"/>
      <c r="CJ7" s="94"/>
      <c r="CK7" s="94"/>
      <c r="CL7" s="94"/>
      <c r="CM7" s="94"/>
      <c r="CN7" s="94"/>
      <c r="CO7" s="94"/>
      <c r="CP7" s="94"/>
      <c r="CQ7" s="94"/>
      <c r="CR7" s="94"/>
      <c r="CS7" s="94"/>
      <c r="CT7" s="94"/>
      <c r="CU7" s="94"/>
      <c r="CV7" s="94"/>
      <c r="CW7" s="94"/>
      <c r="CX7" s="94"/>
      <c r="CY7" s="94"/>
      <c r="CZ7" s="94"/>
      <c r="DA7" s="94"/>
      <c r="DB7" s="94"/>
      <c r="DC7" s="94"/>
      <c r="DD7" s="94"/>
      <c r="DE7" s="94"/>
      <c r="DF7" s="94"/>
      <c r="DG7" s="94"/>
      <c r="DH7" s="94"/>
      <c r="DI7" s="94"/>
      <c r="DJ7" s="94"/>
      <c r="DK7" s="94"/>
      <c r="DL7" s="94"/>
      <c r="DM7" s="94"/>
      <c r="DN7" s="94"/>
      <c r="DO7" s="94"/>
      <c r="DP7" s="94"/>
      <c r="DQ7" s="94"/>
      <c r="DR7" s="94"/>
      <c r="DS7" s="94"/>
      <c r="DT7" s="94"/>
      <c r="DU7" s="94"/>
      <c r="DV7" s="94"/>
      <c r="DW7" s="94"/>
      <c r="DX7" s="94"/>
      <c r="DY7" s="94"/>
      <c r="DZ7" s="94"/>
      <c r="EA7" s="94"/>
      <c r="EB7" s="94"/>
      <c r="EC7" s="94"/>
      <c r="ED7" s="94"/>
      <c r="EE7" s="94"/>
      <c r="EF7" s="94"/>
      <c r="EG7" s="94"/>
      <c r="EH7" s="94"/>
      <c r="EI7" s="94"/>
      <c r="EJ7" s="94"/>
      <c r="EK7" s="94"/>
      <c r="EL7" s="94"/>
      <c r="EM7" s="94"/>
      <c r="EN7" s="94"/>
      <c r="EO7" s="94"/>
      <c r="EP7" s="94"/>
      <c r="EQ7" s="94"/>
      <c r="ER7" s="94"/>
      <c r="ES7" s="94"/>
      <c r="ET7" s="94"/>
      <c r="EU7" s="94"/>
      <c r="EV7" s="94"/>
      <c r="EW7" s="94"/>
      <c r="EX7" s="94"/>
      <c r="EY7" s="94"/>
      <c r="EZ7" s="94"/>
      <c r="FA7" s="94"/>
      <c r="FB7" s="94"/>
      <c r="FC7" s="94"/>
      <c r="FD7" s="94"/>
      <c r="FE7" s="94"/>
      <c r="FF7" s="94"/>
      <c r="FG7" s="94"/>
      <c r="FH7" s="94"/>
      <c r="FI7" s="94"/>
      <c r="FJ7" s="94"/>
      <c r="FK7" s="94"/>
      <c r="FL7" s="94"/>
      <c r="FM7" s="94"/>
      <c r="FN7" s="94"/>
      <c r="FO7" s="94"/>
      <c r="FP7" s="94"/>
      <c r="FQ7" s="94"/>
      <c r="FR7" s="94"/>
      <c r="FS7" s="94"/>
      <c r="FT7" s="94"/>
      <c r="FU7" s="94"/>
      <c r="FV7" s="94"/>
      <c r="FW7" s="94"/>
      <c r="FX7" s="94"/>
      <c r="FY7" s="94"/>
      <c r="FZ7" s="94"/>
      <c r="GA7" s="94"/>
      <c r="GB7" s="94"/>
      <c r="GC7" s="94"/>
      <c r="GD7" s="94"/>
      <c r="GE7" s="94"/>
      <c r="GF7" s="94"/>
      <c r="GG7" s="94"/>
      <c r="GH7" s="94"/>
      <c r="GI7" s="94"/>
      <c r="GJ7" s="94"/>
      <c r="GK7" s="94"/>
      <c r="GL7" s="94"/>
      <c r="GM7" s="94"/>
      <c r="GN7" s="94"/>
      <c r="GO7" s="94"/>
      <c r="GP7" s="94"/>
      <c r="GQ7" s="94"/>
      <c r="GR7" s="94"/>
      <c r="GS7" s="94"/>
      <c r="GT7" s="94"/>
      <c r="GU7" s="94"/>
      <c r="GV7" s="94"/>
    </row>
    <row r="8" spans="2:204" s="21" customFormat="1" x14ac:dyDescent="0.25">
      <c r="B8" s="93"/>
      <c r="C8" s="94"/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3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94"/>
      <c r="AS8" s="94"/>
      <c r="AT8" s="94"/>
      <c r="AU8" s="94"/>
      <c r="AV8" s="94"/>
      <c r="AW8" s="94"/>
      <c r="AX8" s="94"/>
      <c r="AY8" s="94"/>
      <c r="AZ8" s="94"/>
      <c r="BA8" s="94"/>
      <c r="BB8" s="94"/>
      <c r="BC8" s="94"/>
      <c r="BD8" s="94"/>
      <c r="BE8" s="94"/>
      <c r="BF8" s="94"/>
      <c r="BG8" s="94"/>
      <c r="BH8" s="94"/>
      <c r="BI8" s="94"/>
      <c r="BJ8" s="94"/>
      <c r="BK8" s="94"/>
      <c r="BL8" s="94"/>
      <c r="BM8" s="94"/>
      <c r="BN8" s="94"/>
      <c r="BO8" s="94"/>
      <c r="BP8" s="94"/>
      <c r="BQ8" s="94"/>
      <c r="BR8" s="94"/>
      <c r="BS8" s="94"/>
      <c r="BT8" s="94"/>
      <c r="BU8" s="94"/>
      <c r="BV8" s="94"/>
      <c r="BW8" s="94"/>
      <c r="BX8" s="94"/>
      <c r="BY8" s="94"/>
      <c r="BZ8" s="94"/>
      <c r="CA8" s="94"/>
      <c r="CB8" s="94"/>
      <c r="CC8" s="94"/>
      <c r="CD8" s="94"/>
      <c r="CE8" s="94"/>
      <c r="CF8" s="94"/>
      <c r="CG8" s="94"/>
      <c r="CH8" s="94"/>
      <c r="CI8" s="94"/>
      <c r="CJ8" s="94"/>
      <c r="CK8" s="94"/>
      <c r="CL8" s="94"/>
      <c r="CM8" s="94"/>
      <c r="CN8" s="94"/>
      <c r="CO8" s="94"/>
      <c r="CP8" s="94"/>
      <c r="CQ8" s="94"/>
      <c r="CR8" s="94"/>
      <c r="CS8" s="94"/>
      <c r="CT8" s="94"/>
      <c r="CU8" s="94"/>
      <c r="CV8" s="94"/>
      <c r="CW8" s="94"/>
      <c r="CX8" s="94"/>
      <c r="CY8" s="94"/>
      <c r="CZ8" s="94"/>
      <c r="DA8" s="94"/>
      <c r="DB8" s="94"/>
      <c r="DC8" s="94"/>
      <c r="DD8" s="94"/>
      <c r="DE8" s="94"/>
      <c r="DF8" s="94"/>
      <c r="DG8" s="94"/>
      <c r="DH8" s="94"/>
      <c r="DI8" s="94"/>
      <c r="DJ8" s="94"/>
      <c r="DK8" s="94"/>
      <c r="DL8" s="94"/>
      <c r="DM8" s="94"/>
      <c r="DN8" s="94"/>
      <c r="DO8" s="94"/>
      <c r="DP8" s="94"/>
      <c r="DQ8" s="94"/>
      <c r="DR8" s="94"/>
      <c r="DS8" s="94"/>
      <c r="DT8" s="94"/>
      <c r="DU8" s="94"/>
      <c r="DV8" s="94"/>
      <c r="DW8" s="94"/>
      <c r="DX8" s="94"/>
      <c r="DY8" s="94"/>
      <c r="DZ8" s="94"/>
      <c r="EA8" s="94"/>
      <c r="EB8" s="94"/>
      <c r="EC8" s="94"/>
      <c r="ED8" s="94"/>
      <c r="EE8" s="94"/>
      <c r="EF8" s="94"/>
      <c r="EG8" s="94"/>
      <c r="EH8" s="94"/>
      <c r="EI8" s="94"/>
      <c r="EJ8" s="94"/>
      <c r="EK8" s="94"/>
      <c r="EL8" s="94"/>
      <c r="EM8" s="94"/>
      <c r="EN8" s="94"/>
      <c r="EO8" s="94"/>
      <c r="EP8" s="94"/>
      <c r="EQ8" s="94"/>
      <c r="ER8" s="94"/>
      <c r="ES8" s="94"/>
      <c r="ET8" s="94"/>
      <c r="EU8" s="94"/>
      <c r="EV8" s="94"/>
      <c r="EW8" s="94"/>
      <c r="EX8" s="94"/>
      <c r="EY8" s="94"/>
      <c r="EZ8" s="94"/>
      <c r="FA8" s="94"/>
      <c r="FB8" s="94"/>
      <c r="FC8" s="94"/>
      <c r="FD8" s="94"/>
      <c r="FE8" s="94"/>
      <c r="FF8" s="94"/>
      <c r="FG8" s="94"/>
      <c r="FH8" s="94"/>
      <c r="FI8" s="94"/>
      <c r="FJ8" s="94"/>
      <c r="FK8" s="94"/>
      <c r="FL8" s="94"/>
      <c r="FM8" s="94"/>
      <c r="FN8" s="94"/>
      <c r="FO8" s="94"/>
      <c r="FP8" s="94"/>
      <c r="FQ8" s="94"/>
      <c r="FR8" s="94"/>
      <c r="FS8" s="94"/>
      <c r="FT8" s="94"/>
      <c r="FU8" s="94"/>
      <c r="FV8" s="94"/>
      <c r="FW8" s="94"/>
      <c r="FX8" s="94"/>
      <c r="FY8" s="94"/>
      <c r="FZ8" s="94"/>
      <c r="GA8" s="94"/>
      <c r="GB8" s="94"/>
      <c r="GC8" s="94"/>
      <c r="GD8" s="94"/>
      <c r="GE8" s="94"/>
      <c r="GF8" s="94"/>
      <c r="GG8" s="94"/>
      <c r="GH8" s="94"/>
      <c r="GI8" s="94"/>
      <c r="GJ8" s="94"/>
      <c r="GK8" s="94"/>
      <c r="GL8" s="94"/>
      <c r="GM8" s="94"/>
      <c r="GN8" s="94"/>
      <c r="GO8" s="94"/>
      <c r="GP8" s="94"/>
      <c r="GQ8" s="94"/>
      <c r="GR8" s="94"/>
      <c r="GS8" s="94"/>
      <c r="GT8" s="94"/>
      <c r="GU8" s="94"/>
      <c r="GV8" s="94"/>
    </row>
    <row r="9" spans="2:204" s="21" customFormat="1" ht="13.5" customHeight="1" x14ac:dyDescent="0.25">
      <c r="B9" s="93"/>
      <c r="C9" s="94"/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3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  <c r="AV9" s="94"/>
      <c r="AW9" s="94"/>
      <c r="AX9" s="94"/>
      <c r="AY9" s="94"/>
      <c r="AZ9" s="94"/>
      <c r="BA9" s="94"/>
      <c r="BB9" s="94"/>
      <c r="BC9" s="94"/>
      <c r="BD9" s="94"/>
      <c r="BE9" s="94"/>
      <c r="BF9" s="94"/>
      <c r="BG9" s="94"/>
      <c r="BH9" s="94"/>
      <c r="BI9" s="94"/>
      <c r="BJ9" s="94"/>
      <c r="BK9" s="94"/>
      <c r="BL9" s="94"/>
      <c r="BM9" s="94"/>
      <c r="BN9" s="94"/>
      <c r="BO9" s="94"/>
      <c r="BP9" s="94"/>
      <c r="BQ9" s="94"/>
      <c r="BR9" s="94"/>
      <c r="BS9" s="94"/>
      <c r="BT9" s="94"/>
      <c r="BU9" s="94"/>
      <c r="BV9" s="94"/>
      <c r="BW9" s="94"/>
      <c r="BX9" s="94"/>
      <c r="BY9" s="94"/>
      <c r="BZ9" s="94"/>
      <c r="CA9" s="94"/>
      <c r="CB9" s="94"/>
      <c r="CC9" s="94"/>
      <c r="CD9" s="94"/>
      <c r="CE9" s="94"/>
      <c r="CF9" s="94"/>
      <c r="CG9" s="94"/>
      <c r="CH9" s="94"/>
      <c r="CI9" s="94"/>
      <c r="CJ9" s="94"/>
      <c r="CK9" s="94"/>
      <c r="CL9" s="94"/>
      <c r="CM9" s="94"/>
      <c r="CN9" s="94"/>
      <c r="CO9" s="94"/>
      <c r="CP9" s="94"/>
      <c r="CQ9" s="94"/>
      <c r="CR9" s="94"/>
      <c r="CS9" s="94"/>
      <c r="CT9" s="94"/>
      <c r="CU9" s="94"/>
      <c r="CV9" s="94"/>
      <c r="CW9" s="94"/>
      <c r="CX9" s="94"/>
      <c r="CY9" s="94"/>
      <c r="CZ9" s="94"/>
      <c r="DA9" s="94"/>
      <c r="DB9" s="94"/>
      <c r="DC9" s="94"/>
      <c r="DD9" s="94"/>
      <c r="DE9" s="94"/>
      <c r="DF9" s="94"/>
      <c r="DG9" s="94"/>
      <c r="DH9" s="94"/>
      <c r="DI9" s="94"/>
      <c r="DJ9" s="94"/>
      <c r="DK9" s="94"/>
      <c r="DL9" s="94"/>
      <c r="DM9" s="94"/>
      <c r="DN9" s="94"/>
      <c r="DO9" s="94"/>
      <c r="DP9" s="94"/>
      <c r="DQ9" s="94"/>
      <c r="DR9" s="94"/>
      <c r="DS9" s="94"/>
      <c r="DT9" s="94"/>
      <c r="DU9" s="94"/>
      <c r="DV9" s="94"/>
      <c r="DW9" s="94"/>
      <c r="DX9" s="94"/>
      <c r="DY9" s="94"/>
      <c r="DZ9" s="94"/>
      <c r="EA9" s="94"/>
      <c r="EB9" s="94"/>
      <c r="EC9" s="94"/>
      <c r="ED9" s="94"/>
      <c r="EE9" s="94"/>
      <c r="EF9" s="94"/>
      <c r="EG9" s="94"/>
      <c r="EH9" s="94"/>
      <c r="EI9" s="94"/>
      <c r="EJ9" s="94"/>
      <c r="EK9" s="94"/>
      <c r="EL9" s="94"/>
      <c r="EM9" s="94"/>
      <c r="EN9" s="94"/>
      <c r="EO9" s="94"/>
      <c r="EP9" s="94"/>
      <c r="EQ9" s="94"/>
      <c r="ER9" s="94"/>
      <c r="ES9" s="94"/>
      <c r="ET9" s="94"/>
      <c r="EU9" s="94"/>
      <c r="EV9" s="94"/>
      <c r="EW9" s="94"/>
      <c r="EX9" s="94"/>
      <c r="EY9" s="94"/>
      <c r="EZ9" s="94"/>
      <c r="FA9" s="94"/>
      <c r="FB9" s="94"/>
      <c r="FC9" s="94"/>
      <c r="FD9" s="94"/>
      <c r="FE9" s="94"/>
      <c r="FF9" s="94"/>
      <c r="FG9" s="94"/>
      <c r="FH9" s="94"/>
      <c r="FI9" s="94"/>
      <c r="FJ9" s="94"/>
      <c r="FK9" s="94"/>
      <c r="FL9" s="94"/>
      <c r="FM9" s="94"/>
      <c r="FN9" s="94"/>
      <c r="FO9" s="94"/>
      <c r="FP9" s="94"/>
      <c r="FQ9" s="94"/>
      <c r="FR9" s="94"/>
      <c r="FS9" s="94"/>
      <c r="FT9" s="94"/>
      <c r="FU9" s="94"/>
      <c r="FV9" s="94"/>
      <c r="FW9" s="94"/>
      <c r="FX9" s="94"/>
      <c r="FY9" s="94"/>
      <c r="FZ9" s="94"/>
      <c r="GA9" s="94"/>
      <c r="GB9" s="94"/>
      <c r="GC9" s="94"/>
      <c r="GD9" s="94"/>
      <c r="GE9" s="94"/>
      <c r="GF9" s="94"/>
      <c r="GG9" s="94"/>
      <c r="GH9" s="94"/>
      <c r="GI9" s="94"/>
      <c r="GJ9" s="94"/>
      <c r="GK9" s="94"/>
      <c r="GL9" s="94"/>
      <c r="GM9" s="94"/>
      <c r="GN9" s="94"/>
      <c r="GO9" s="94"/>
      <c r="GP9" s="94"/>
      <c r="GQ9" s="94"/>
      <c r="GR9" s="94"/>
      <c r="GS9" s="94"/>
      <c r="GT9" s="94"/>
      <c r="GU9" s="94"/>
      <c r="GV9" s="94"/>
    </row>
    <row r="10" spans="2:204" s="21" customFormat="1" x14ac:dyDescent="0.25">
      <c r="B10" s="93"/>
      <c r="C10" s="94"/>
      <c r="D10" s="94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3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I10" s="94"/>
      <c r="AJ10" s="94"/>
      <c r="AK10" s="94"/>
      <c r="AL10" s="94"/>
      <c r="AM10" s="94"/>
      <c r="AN10" s="94"/>
      <c r="AO10" s="94"/>
      <c r="AP10" s="94"/>
      <c r="AQ10" s="94"/>
      <c r="AR10" s="94"/>
      <c r="AS10" s="94"/>
      <c r="AT10" s="94"/>
      <c r="AU10" s="94"/>
      <c r="AV10" s="94"/>
      <c r="AW10" s="94"/>
      <c r="AX10" s="94"/>
      <c r="AY10" s="94"/>
      <c r="AZ10" s="94"/>
      <c r="BA10" s="94"/>
      <c r="BB10" s="94"/>
      <c r="BC10" s="94"/>
      <c r="BD10" s="94"/>
      <c r="BE10" s="94"/>
      <c r="BF10" s="94"/>
      <c r="BG10" s="94"/>
      <c r="BH10" s="94"/>
      <c r="BI10" s="94"/>
      <c r="BJ10" s="94"/>
      <c r="BK10" s="94"/>
      <c r="BL10" s="94"/>
      <c r="BM10" s="94"/>
      <c r="BN10" s="94"/>
      <c r="BO10" s="94"/>
      <c r="BP10" s="94"/>
      <c r="BQ10" s="94"/>
      <c r="BR10" s="94"/>
      <c r="BS10" s="94"/>
      <c r="BT10" s="94"/>
      <c r="BU10" s="94"/>
      <c r="BV10" s="94"/>
      <c r="BW10" s="94"/>
      <c r="BX10" s="94"/>
      <c r="BY10" s="94"/>
      <c r="BZ10" s="94"/>
      <c r="CA10" s="94"/>
      <c r="CB10" s="94"/>
      <c r="CC10" s="94"/>
      <c r="CD10" s="94"/>
      <c r="CE10" s="94"/>
      <c r="CF10" s="94"/>
      <c r="CG10" s="94"/>
      <c r="CH10" s="94"/>
      <c r="CI10" s="94"/>
      <c r="CJ10" s="94"/>
      <c r="CK10" s="94"/>
      <c r="CL10" s="94"/>
      <c r="CM10" s="94"/>
      <c r="CN10" s="94"/>
      <c r="CO10" s="94"/>
      <c r="CP10" s="94"/>
      <c r="CQ10" s="94"/>
      <c r="CR10" s="94"/>
      <c r="CS10" s="94"/>
      <c r="CT10" s="94"/>
      <c r="CU10" s="94"/>
      <c r="CV10" s="94"/>
      <c r="CW10" s="94"/>
      <c r="CX10" s="94"/>
      <c r="CY10" s="94"/>
      <c r="CZ10" s="94"/>
      <c r="DA10" s="94"/>
      <c r="DB10" s="94"/>
      <c r="DC10" s="94"/>
      <c r="DD10" s="94"/>
      <c r="DE10" s="94"/>
      <c r="DF10" s="94"/>
      <c r="DG10" s="94"/>
      <c r="DH10" s="94"/>
      <c r="DI10" s="94"/>
      <c r="DJ10" s="94"/>
      <c r="DK10" s="94"/>
      <c r="DL10" s="94"/>
      <c r="DM10" s="94"/>
      <c r="DN10" s="94"/>
      <c r="DO10" s="94"/>
      <c r="DP10" s="94"/>
      <c r="DQ10" s="94"/>
      <c r="DR10" s="94"/>
      <c r="DS10" s="94"/>
      <c r="DT10" s="94"/>
      <c r="DU10" s="94"/>
      <c r="DV10" s="94"/>
      <c r="DW10" s="94"/>
      <c r="DX10" s="94"/>
      <c r="DY10" s="94"/>
      <c r="DZ10" s="94"/>
      <c r="EA10" s="94"/>
      <c r="EB10" s="94"/>
      <c r="EC10" s="94"/>
      <c r="ED10" s="94"/>
      <c r="EE10" s="94"/>
      <c r="EF10" s="94"/>
      <c r="EG10" s="94"/>
      <c r="EH10" s="94"/>
      <c r="EI10" s="94"/>
      <c r="EJ10" s="94"/>
      <c r="EK10" s="94"/>
      <c r="EL10" s="94"/>
      <c r="EM10" s="94"/>
      <c r="EN10" s="94"/>
      <c r="EO10" s="94"/>
      <c r="EP10" s="94"/>
      <c r="EQ10" s="94"/>
      <c r="ER10" s="94"/>
      <c r="ES10" s="94"/>
      <c r="ET10" s="94"/>
      <c r="EU10" s="94"/>
      <c r="EV10" s="94"/>
      <c r="EW10" s="94"/>
      <c r="EX10" s="94"/>
      <c r="EY10" s="94"/>
      <c r="EZ10" s="94"/>
      <c r="FA10" s="94"/>
      <c r="FB10" s="94"/>
      <c r="FC10" s="94"/>
      <c r="FD10" s="94"/>
      <c r="FE10" s="94"/>
      <c r="FF10" s="94"/>
      <c r="FG10" s="94"/>
      <c r="FH10" s="94"/>
      <c r="FI10" s="94"/>
      <c r="FJ10" s="94"/>
      <c r="FK10" s="94"/>
      <c r="FL10" s="94"/>
      <c r="FM10" s="94"/>
      <c r="FN10" s="94"/>
      <c r="FO10" s="94"/>
      <c r="FP10" s="94"/>
      <c r="FQ10" s="94"/>
      <c r="FR10" s="94"/>
      <c r="FS10" s="94"/>
      <c r="FT10" s="94"/>
      <c r="FU10" s="94"/>
      <c r="FV10" s="94"/>
      <c r="FW10" s="94"/>
      <c r="FX10" s="94"/>
      <c r="FY10" s="94"/>
      <c r="FZ10" s="94"/>
      <c r="GA10" s="94"/>
      <c r="GB10" s="94"/>
      <c r="GC10" s="94"/>
      <c r="GD10" s="94"/>
      <c r="GE10" s="94"/>
      <c r="GF10" s="94"/>
      <c r="GG10" s="94"/>
      <c r="GH10" s="94"/>
      <c r="GI10" s="94"/>
      <c r="GJ10" s="94"/>
      <c r="GK10" s="94"/>
      <c r="GL10" s="94"/>
      <c r="GM10" s="94"/>
      <c r="GN10" s="94"/>
      <c r="GO10" s="94"/>
      <c r="GP10" s="94"/>
      <c r="GQ10" s="94"/>
      <c r="GR10" s="94"/>
      <c r="GS10" s="94"/>
      <c r="GT10" s="94"/>
      <c r="GU10" s="94"/>
      <c r="GV10" s="94"/>
    </row>
    <row r="11" spans="2:204" s="21" customFormat="1" x14ac:dyDescent="0.25">
      <c r="B11" s="93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3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  <c r="AV11" s="94"/>
      <c r="AW11" s="94"/>
      <c r="AX11" s="94"/>
      <c r="AY11" s="94"/>
      <c r="AZ11" s="94"/>
      <c r="BA11" s="94"/>
      <c r="BB11" s="94"/>
      <c r="BC11" s="94"/>
      <c r="BD11" s="94"/>
      <c r="BE11" s="94"/>
      <c r="BF11" s="94"/>
      <c r="BG11" s="94"/>
      <c r="BH11" s="94"/>
      <c r="BI11" s="94"/>
      <c r="BJ11" s="94"/>
      <c r="BK11" s="94"/>
      <c r="BL11" s="94"/>
      <c r="BM11" s="94"/>
      <c r="BN11" s="94"/>
      <c r="BO11" s="94"/>
      <c r="BP11" s="94"/>
      <c r="BQ11" s="94"/>
      <c r="BR11" s="94"/>
      <c r="BS11" s="94"/>
      <c r="BT11" s="94"/>
      <c r="BU11" s="94"/>
      <c r="BV11" s="94"/>
      <c r="BW11" s="94"/>
      <c r="BX11" s="94"/>
      <c r="BY11" s="94"/>
      <c r="BZ11" s="94"/>
      <c r="CA11" s="94"/>
      <c r="CB11" s="94"/>
      <c r="CC11" s="94"/>
      <c r="CD11" s="94"/>
      <c r="CE11" s="94"/>
      <c r="CF11" s="94"/>
      <c r="CG11" s="94"/>
      <c r="CH11" s="94"/>
      <c r="CI11" s="94"/>
      <c r="CJ11" s="94"/>
      <c r="CK11" s="94"/>
      <c r="CL11" s="94"/>
      <c r="CM11" s="94"/>
      <c r="CN11" s="94"/>
      <c r="CO11" s="94"/>
      <c r="CP11" s="94"/>
      <c r="CQ11" s="94"/>
      <c r="CR11" s="94"/>
      <c r="CS11" s="94"/>
      <c r="CT11" s="94"/>
      <c r="CU11" s="94"/>
      <c r="CV11" s="94"/>
      <c r="CW11" s="94"/>
      <c r="CX11" s="94"/>
      <c r="CY11" s="94"/>
      <c r="CZ11" s="94"/>
      <c r="DA11" s="94"/>
      <c r="DB11" s="94"/>
      <c r="DC11" s="94"/>
      <c r="DD11" s="94"/>
      <c r="DE11" s="94"/>
      <c r="DF11" s="94"/>
      <c r="DG11" s="94"/>
      <c r="DH11" s="94"/>
      <c r="DI11" s="94"/>
      <c r="DJ11" s="94"/>
      <c r="DK11" s="94"/>
      <c r="DL11" s="94"/>
      <c r="DM11" s="94"/>
      <c r="DN11" s="94"/>
      <c r="DO11" s="94"/>
      <c r="DP11" s="94"/>
      <c r="DQ11" s="94"/>
      <c r="DR11" s="94"/>
      <c r="DS11" s="94"/>
      <c r="DT11" s="94"/>
      <c r="DU11" s="94"/>
      <c r="DV11" s="94"/>
      <c r="DW11" s="94"/>
      <c r="DX11" s="94"/>
      <c r="DY11" s="94"/>
      <c r="DZ11" s="94"/>
      <c r="EA11" s="94"/>
      <c r="EB11" s="94"/>
      <c r="EC11" s="94"/>
      <c r="ED11" s="94"/>
      <c r="EE11" s="94"/>
      <c r="EF11" s="94"/>
      <c r="EG11" s="94"/>
      <c r="EH11" s="94"/>
      <c r="EI11" s="94"/>
      <c r="EJ11" s="94"/>
      <c r="EK11" s="94"/>
      <c r="EL11" s="94"/>
      <c r="EM11" s="94"/>
      <c r="EN11" s="94"/>
      <c r="EO11" s="94"/>
      <c r="EP11" s="94"/>
      <c r="EQ11" s="94"/>
      <c r="ER11" s="94"/>
      <c r="ES11" s="94"/>
      <c r="ET11" s="94"/>
      <c r="EU11" s="94"/>
      <c r="EV11" s="94"/>
      <c r="EW11" s="94"/>
      <c r="EX11" s="94"/>
      <c r="EY11" s="94"/>
      <c r="EZ11" s="94"/>
      <c r="FA11" s="94"/>
      <c r="FB11" s="94"/>
      <c r="FC11" s="94"/>
      <c r="FD11" s="94"/>
      <c r="FE11" s="94"/>
      <c r="FF11" s="94"/>
      <c r="FG11" s="94"/>
      <c r="FH11" s="94"/>
      <c r="FI11" s="94"/>
      <c r="FJ11" s="94"/>
      <c r="FK11" s="94"/>
      <c r="FL11" s="94"/>
      <c r="FM11" s="94"/>
      <c r="FN11" s="94"/>
      <c r="FO11" s="94"/>
      <c r="FP11" s="94"/>
      <c r="FQ11" s="94"/>
      <c r="FR11" s="94"/>
      <c r="FS11" s="94"/>
      <c r="FT11" s="94"/>
      <c r="FU11" s="94"/>
      <c r="FV11" s="94"/>
      <c r="FW11" s="94"/>
      <c r="FX11" s="94"/>
      <c r="FY11" s="94"/>
      <c r="FZ11" s="94"/>
      <c r="GA11" s="94"/>
      <c r="GB11" s="94"/>
      <c r="GC11" s="94"/>
      <c r="GD11" s="94"/>
      <c r="GE11" s="94"/>
      <c r="GF11" s="94"/>
      <c r="GG11" s="94"/>
      <c r="GH11" s="94"/>
      <c r="GI11" s="94"/>
      <c r="GJ11" s="94"/>
      <c r="GK11" s="94"/>
      <c r="GL11" s="94"/>
      <c r="GM11" s="94"/>
      <c r="GN11" s="94"/>
      <c r="GO11" s="94"/>
      <c r="GP11" s="94"/>
      <c r="GQ11" s="94"/>
      <c r="GR11" s="94"/>
      <c r="GS11" s="94"/>
      <c r="GT11" s="94"/>
      <c r="GU11" s="94"/>
      <c r="GV11" s="94"/>
    </row>
    <row r="12" spans="2:204" s="21" customFormat="1" x14ac:dyDescent="0.25">
      <c r="B12" s="93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4"/>
      <c r="BG12" s="94"/>
      <c r="BH12" s="94"/>
      <c r="BI12" s="94"/>
      <c r="BJ12" s="94"/>
      <c r="BK12" s="94"/>
      <c r="BL12" s="94"/>
      <c r="BM12" s="94"/>
      <c r="BN12" s="94"/>
      <c r="BO12" s="94"/>
      <c r="BP12" s="94"/>
      <c r="BQ12" s="94"/>
      <c r="BR12" s="94"/>
      <c r="BS12" s="94"/>
      <c r="BT12" s="94"/>
      <c r="BU12" s="94"/>
      <c r="BV12" s="94"/>
      <c r="BW12" s="94"/>
      <c r="BX12" s="94"/>
      <c r="BY12" s="94"/>
      <c r="BZ12" s="94"/>
      <c r="CA12" s="94"/>
      <c r="CB12" s="94"/>
      <c r="CC12" s="94"/>
      <c r="CD12" s="94"/>
      <c r="CE12" s="94"/>
      <c r="CF12" s="94"/>
      <c r="CG12" s="94"/>
      <c r="CH12" s="94"/>
      <c r="CI12" s="94"/>
      <c r="CJ12" s="94"/>
      <c r="CK12" s="94"/>
      <c r="CL12" s="94"/>
      <c r="CM12" s="94"/>
      <c r="CN12" s="94"/>
      <c r="CO12" s="94"/>
      <c r="CP12" s="94"/>
      <c r="CQ12" s="94"/>
      <c r="CR12" s="94"/>
      <c r="CS12" s="94"/>
      <c r="CT12" s="94"/>
      <c r="CU12" s="94"/>
      <c r="CV12" s="94"/>
      <c r="CW12" s="94"/>
      <c r="CX12" s="94"/>
      <c r="CY12" s="94"/>
      <c r="CZ12" s="94"/>
      <c r="DA12" s="94"/>
      <c r="DB12" s="94"/>
      <c r="DC12" s="94"/>
      <c r="DD12" s="94"/>
      <c r="DE12" s="94"/>
      <c r="DF12" s="94"/>
      <c r="DG12" s="94"/>
      <c r="DH12" s="94"/>
      <c r="DI12" s="94"/>
      <c r="DJ12" s="94"/>
      <c r="DK12" s="94"/>
      <c r="DL12" s="94"/>
      <c r="DM12" s="94"/>
      <c r="DN12" s="94"/>
      <c r="DO12" s="94"/>
      <c r="DP12" s="94"/>
      <c r="DQ12" s="94"/>
      <c r="DR12" s="94"/>
      <c r="DS12" s="94"/>
      <c r="DT12" s="94"/>
      <c r="DU12" s="94"/>
      <c r="DV12" s="94"/>
      <c r="DW12" s="94"/>
      <c r="DX12" s="94"/>
      <c r="DY12" s="94"/>
      <c r="DZ12" s="94"/>
      <c r="EA12" s="94"/>
      <c r="EB12" s="94"/>
      <c r="EC12" s="94"/>
      <c r="ED12" s="94"/>
      <c r="EE12" s="94"/>
      <c r="EF12" s="94"/>
      <c r="EG12" s="94"/>
      <c r="EH12" s="94"/>
      <c r="EI12" s="94"/>
      <c r="EJ12" s="94"/>
      <c r="EK12" s="94"/>
      <c r="EL12" s="94"/>
      <c r="EM12" s="94"/>
      <c r="EN12" s="94"/>
      <c r="EO12" s="94"/>
      <c r="EP12" s="94"/>
      <c r="EQ12" s="94"/>
      <c r="ER12" s="94"/>
      <c r="ES12" s="94"/>
      <c r="ET12" s="94"/>
      <c r="EU12" s="94"/>
      <c r="EV12" s="94"/>
      <c r="EW12" s="94"/>
      <c r="EX12" s="94"/>
      <c r="EY12" s="94"/>
      <c r="EZ12" s="94"/>
      <c r="FA12" s="94"/>
      <c r="FB12" s="94"/>
      <c r="FC12" s="94"/>
      <c r="FD12" s="94"/>
      <c r="FE12" s="94"/>
      <c r="FF12" s="94"/>
      <c r="FG12" s="94"/>
      <c r="FH12" s="94"/>
      <c r="FI12" s="94"/>
      <c r="FJ12" s="94"/>
      <c r="FK12" s="94"/>
      <c r="FL12" s="94"/>
      <c r="FM12" s="94"/>
      <c r="FN12" s="94"/>
      <c r="FO12" s="94"/>
      <c r="FP12" s="94"/>
      <c r="FQ12" s="94"/>
      <c r="FR12" s="94"/>
      <c r="FS12" s="94"/>
      <c r="FT12" s="94"/>
      <c r="FU12" s="94"/>
      <c r="FV12" s="94"/>
      <c r="FW12" s="94"/>
      <c r="FX12" s="94"/>
      <c r="FY12" s="94"/>
      <c r="FZ12" s="94"/>
      <c r="GA12" s="94"/>
      <c r="GB12" s="94"/>
      <c r="GC12" s="94"/>
      <c r="GD12" s="94"/>
      <c r="GE12" s="94"/>
      <c r="GF12" s="94"/>
      <c r="GG12" s="94"/>
      <c r="GH12" s="94"/>
      <c r="GI12" s="94"/>
      <c r="GJ12" s="94"/>
      <c r="GK12" s="94"/>
      <c r="GL12" s="94"/>
      <c r="GM12" s="94"/>
      <c r="GN12" s="94"/>
      <c r="GO12" s="94"/>
      <c r="GP12" s="94"/>
      <c r="GQ12" s="94"/>
      <c r="GR12" s="94"/>
      <c r="GS12" s="94"/>
      <c r="GT12" s="94"/>
      <c r="GU12" s="94"/>
      <c r="GV12" s="94"/>
    </row>
    <row r="13" spans="2:204" s="21" customFormat="1" x14ac:dyDescent="0.25">
      <c r="B13" s="93"/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  <c r="AV13" s="94"/>
      <c r="AW13" s="94"/>
      <c r="AX13" s="94"/>
      <c r="AY13" s="94"/>
      <c r="AZ13" s="94"/>
      <c r="BA13" s="94"/>
      <c r="BB13" s="94"/>
      <c r="BC13" s="94"/>
      <c r="BD13" s="94"/>
      <c r="BE13" s="94"/>
      <c r="BF13" s="94"/>
      <c r="BG13" s="94"/>
      <c r="BH13" s="94"/>
      <c r="BI13" s="94"/>
      <c r="BJ13" s="94"/>
      <c r="BK13" s="94"/>
      <c r="BL13" s="94"/>
      <c r="BM13" s="94"/>
      <c r="BN13" s="94"/>
      <c r="BO13" s="94"/>
      <c r="BP13" s="94"/>
      <c r="BQ13" s="94"/>
      <c r="BR13" s="94"/>
      <c r="BS13" s="94"/>
      <c r="BT13" s="94"/>
      <c r="BU13" s="94"/>
      <c r="BV13" s="94"/>
      <c r="BW13" s="94"/>
      <c r="BX13" s="94"/>
      <c r="BY13" s="94"/>
      <c r="BZ13" s="94"/>
      <c r="CA13" s="94"/>
      <c r="CB13" s="94"/>
      <c r="CC13" s="94"/>
      <c r="CD13" s="94"/>
      <c r="CE13" s="94"/>
      <c r="CF13" s="94"/>
      <c r="CG13" s="94"/>
      <c r="CH13" s="94"/>
      <c r="CI13" s="94"/>
      <c r="CJ13" s="94"/>
      <c r="CK13" s="94"/>
      <c r="CL13" s="94"/>
      <c r="CM13" s="94"/>
      <c r="CN13" s="94"/>
      <c r="CO13" s="94"/>
      <c r="CP13" s="94"/>
      <c r="CQ13" s="94"/>
      <c r="CR13" s="94"/>
      <c r="CS13" s="94"/>
      <c r="CT13" s="94"/>
      <c r="CU13" s="94"/>
      <c r="CV13" s="94"/>
      <c r="CW13" s="94"/>
      <c r="CX13" s="94"/>
      <c r="CY13" s="94"/>
      <c r="CZ13" s="94"/>
      <c r="DA13" s="94"/>
      <c r="DB13" s="94"/>
      <c r="DC13" s="94"/>
      <c r="DD13" s="94"/>
      <c r="DE13" s="94"/>
      <c r="DF13" s="94"/>
      <c r="DG13" s="94"/>
      <c r="DH13" s="94"/>
      <c r="DI13" s="94"/>
      <c r="DJ13" s="94"/>
      <c r="DK13" s="94"/>
      <c r="DL13" s="94"/>
      <c r="DM13" s="94"/>
      <c r="DN13" s="94"/>
      <c r="DO13" s="94"/>
      <c r="DP13" s="94"/>
      <c r="DQ13" s="94"/>
      <c r="DR13" s="94"/>
      <c r="DS13" s="94"/>
      <c r="DT13" s="94"/>
      <c r="DU13" s="94"/>
      <c r="DV13" s="94"/>
      <c r="DW13" s="94"/>
      <c r="DX13" s="94"/>
      <c r="DY13" s="94"/>
      <c r="DZ13" s="94"/>
      <c r="EA13" s="94"/>
      <c r="EB13" s="94"/>
      <c r="EC13" s="94"/>
      <c r="ED13" s="94"/>
      <c r="EE13" s="94"/>
      <c r="EF13" s="94"/>
      <c r="EG13" s="94"/>
      <c r="EH13" s="94"/>
      <c r="EI13" s="94"/>
      <c r="EJ13" s="94"/>
      <c r="EK13" s="94"/>
      <c r="EL13" s="94"/>
      <c r="EM13" s="94"/>
      <c r="EN13" s="94"/>
      <c r="EO13" s="94"/>
      <c r="EP13" s="94"/>
      <c r="EQ13" s="94"/>
      <c r="ER13" s="94"/>
      <c r="ES13" s="94"/>
      <c r="ET13" s="94"/>
      <c r="EU13" s="94"/>
      <c r="EV13" s="94"/>
      <c r="EW13" s="94"/>
      <c r="EX13" s="94"/>
      <c r="EY13" s="94"/>
      <c r="EZ13" s="94"/>
      <c r="FA13" s="94"/>
      <c r="FB13" s="94"/>
      <c r="FC13" s="94"/>
      <c r="FD13" s="94"/>
      <c r="FE13" s="94"/>
      <c r="FF13" s="94"/>
      <c r="FG13" s="94"/>
      <c r="FH13" s="94"/>
      <c r="FI13" s="94"/>
      <c r="FJ13" s="94"/>
      <c r="FK13" s="94"/>
      <c r="FL13" s="94"/>
      <c r="FM13" s="94"/>
      <c r="FN13" s="94"/>
      <c r="FO13" s="94"/>
      <c r="FP13" s="94"/>
      <c r="FQ13" s="94"/>
      <c r="FR13" s="94"/>
      <c r="FS13" s="94"/>
      <c r="FT13" s="94"/>
      <c r="FU13" s="94"/>
      <c r="FV13" s="94"/>
      <c r="FW13" s="94"/>
      <c r="FX13" s="94"/>
      <c r="FY13" s="94"/>
      <c r="FZ13" s="94"/>
      <c r="GA13" s="94"/>
      <c r="GB13" s="94"/>
      <c r="GC13" s="94"/>
      <c r="GD13" s="94"/>
      <c r="GE13" s="94"/>
      <c r="GF13" s="94"/>
      <c r="GG13" s="94"/>
      <c r="GH13" s="94"/>
      <c r="GI13" s="94"/>
      <c r="GJ13" s="94"/>
      <c r="GK13" s="94"/>
      <c r="GL13" s="94"/>
      <c r="GM13" s="94"/>
      <c r="GN13" s="94"/>
      <c r="GO13" s="94"/>
      <c r="GP13" s="94"/>
      <c r="GQ13" s="94"/>
      <c r="GR13" s="94"/>
      <c r="GS13" s="94"/>
      <c r="GT13" s="94"/>
      <c r="GU13" s="94"/>
      <c r="GV13" s="94"/>
    </row>
    <row r="14" spans="2:204" s="21" customFormat="1" x14ac:dyDescent="0.25">
      <c r="B14" s="93"/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I14" s="94"/>
      <c r="AJ14" s="94"/>
      <c r="AK14" s="94"/>
      <c r="AL14" s="94"/>
      <c r="AM14" s="94"/>
      <c r="AN14" s="94"/>
      <c r="AO14" s="94"/>
      <c r="AP14" s="94"/>
      <c r="AQ14" s="94"/>
      <c r="AR14" s="94"/>
      <c r="AS14" s="94"/>
      <c r="AT14" s="94"/>
      <c r="AU14" s="94"/>
      <c r="AV14" s="94"/>
      <c r="AW14" s="94"/>
      <c r="AX14" s="94"/>
      <c r="AY14" s="94"/>
      <c r="AZ14" s="94"/>
      <c r="BA14" s="94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4"/>
      <c r="BQ14" s="94"/>
      <c r="BR14" s="94"/>
      <c r="BS14" s="94"/>
      <c r="BT14" s="94"/>
      <c r="BU14" s="94"/>
      <c r="BV14" s="94"/>
      <c r="BW14" s="94"/>
      <c r="BX14" s="94"/>
      <c r="BY14" s="94"/>
      <c r="BZ14" s="94"/>
      <c r="CA14" s="94"/>
      <c r="CB14" s="94"/>
      <c r="CC14" s="94"/>
      <c r="CD14" s="94"/>
      <c r="CE14" s="94"/>
      <c r="CF14" s="94"/>
      <c r="CG14" s="94"/>
      <c r="CH14" s="94"/>
      <c r="CI14" s="94"/>
      <c r="CJ14" s="94"/>
      <c r="CK14" s="94"/>
      <c r="CL14" s="94"/>
      <c r="CM14" s="94"/>
      <c r="CN14" s="94"/>
      <c r="CO14" s="94"/>
      <c r="CP14" s="94"/>
      <c r="CQ14" s="94"/>
      <c r="CR14" s="94"/>
      <c r="CS14" s="94"/>
      <c r="CT14" s="94"/>
      <c r="CU14" s="94"/>
      <c r="CV14" s="94"/>
      <c r="CW14" s="94"/>
      <c r="CX14" s="94"/>
      <c r="CY14" s="94"/>
      <c r="CZ14" s="94"/>
      <c r="DA14" s="94"/>
      <c r="DB14" s="94"/>
      <c r="DC14" s="94"/>
      <c r="DD14" s="94"/>
      <c r="DE14" s="94"/>
      <c r="DF14" s="94"/>
      <c r="DG14" s="94"/>
      <c r="DH14" s="94"/>
      <c r="DI14" s="94"/>
      <c r="DJ14" s="94"/>
      <c r="DK14" s="94"/>
      <c r="DL14" s="94"/>
      <c r="DM14" s="94"/>
      <c r="DN14" s="94"/>
      <c r="DO14" s="94"/>
      <c r="DP14" s="94"/>
      <c r="DQ14" s="94"/>
      <c r="DR14" s="94"/>
      <c r="DS14" s="94"/>
      <c r="DT14" s="94"/>
      <c r="DU14" s="94"/>
      <c r="DV14" s="94"/>
      <c r="DW14" s="94"/>
      <c r="DX14" s="94"/>
      <c r="DY14" s="94"/>
      <c r="DZ14" s="94"/>
      <c r="EA14" s="94"/>
      <c r="EB14" s="94"/>
      <c r="EC14" s="94"/>
      <c r="ED14" s="94"/>
      <c r="EE14" s="94"/>
      <c r="EF14" s="94"/>
      <c r="EG14" s="94"/>
      <c r="EH14" s="94"/>
      <c r="EI14" s="94"/>
      <c r="EJ14" s="94"/>
      <c r="EK14" s="94"/>
      <c r="EL14" s="94"/>
      <c r="EM14" s="94"/>
      <c r="EN14" s="94"/>
      <c r="EO14" s="94"/>
      <c r="EP14" s="94"/>
      <c r="EQ14" s="94"/>
      <c r="ER14" s="94"/>
      <c r="ES14" s="94"/>
      <c r="ET14" s="94"/>
      <c r="EU14" s="94"/>
      <c r="EV14" s="94"/>
      <c r="EW14" s="94"/>
      <c r="EX14" s="94"/>
      <c r="EY14" s="94"/>
      <c r="EZ14" s="94"/>
      <c r="FA14" s="94"/>
      <c r="FB14" s="94"/>
      <c r="FC14" s="94"/>
      <c r="FD14" s="94"/>
      <c r="FE14" s="94"/>
      <c r="FF14" s="94"/>
      <c r="FG14" s="94"/>
      <c r="FH14" s="94"/>
      <c r="FI14" s="94"/>
      <c r="FJ14" s="94"/>
      <c r="FK14" s="94"/>
      <c r="FL14" s="94"/>
      <c r="FM14" s="94"/>
      <c r="FN14" s="94"/>
      <c r="FO14" s="94"/>
      <c r="FP14" s="94"/>
      <c r="FQ14" s="94"/>
      <c r="FR14" s="94"/>
      <c r="FS14" s="94"/>
      <c r="FT14" s="94"/>
      <c r="FU14" s="94"/>
      <c r="FV14" s="94"/>
      <c r="FW14" s="94"/>
      <c r="FX14" s="94"/>
      <c r="FY14" s="94"/>
      <c r="FZ14" s="94"/>
      <c r="GA14" s="94"/>
      <c r="GB14" s="94"/>
      <c r="GC14" s="94"/>
      <c r="GD14" s="94"/>
      <c r="GE14" s="94"/>
      <c r="GF14" s="94"/>
      <c r="GG14" s="94"/>
      <c r="GH14" s="94"/>
      <c r="GI14" s="94"/>
      <c r="GJ14" s="94"/>
      <c r="GK14" s="94"/>
      <c r="GL14" s="94"/>
      <c r="GM14" s="94"/>
      <c r="GN14" s="94"/>
      <c r="GO14" s="94"/>
      <c r="GP14" s="94"/>
      <c r="GQ14" s="94"/>
      <c r="GR14" s="94"/>
      <c r="GS14" s="94"/>
      <c r="GT14" s="94"/>
      <c r="GU14" s="94"/>
      <c r="GV14" s="94"/>
    </row>
    <row r="15" spans="2:204" s="21" customFormat="1" x14ac:dyDescent="0.25">
      <c r="B15" s="27"/>
    </row>
    <row r="16" spans="2:204" s="21" customFormat="1" x14ac:dyDescent="0.25">
      <c r="B16" s="27"/>
    </row>
    <row r="17" spans="2:2" s="21" customFormat="1" x14ac:dyDescent="0.25">
      <c r="B17" s="27"/>
    </row>
    <row r="18" spans="2:2" s="21" customFormat="1" x14ac:dyDescent="0.25">
      <c r="B18" s="27"/>
    </row>
    <row r="19" spans="2:2" s="21" customFormat="1" x14ac:dyDescent="0.25">
      <c r="B19" s="27"/>
    </row>
    <row r="20" spans="2:2" s="21" customFormat="1" x14ac:dyDescent="0.25">
      <c r="B20" s="27"/>
    </row>
    <row r="21" spans="2:2" s="21" customFormat="1" x14ac:dyDescent="0.25">
      <c r="B21" s="27"/>
    </row>
    <row r="22" spans="2:2" s="21" customFormat="1" x14ac:dyDescent="0.25">
      <c r="B22" s="27"/>
    </row>
    <row r="23" spans="2:2" s="21" customFormat="1" x14ac:dyDescent="0.25">
      <c r="B23" s="27"/>
    </row>
    <row r="24" spans="2:2" s="21" customFormat="1" x14ac:dyDescent="0.25">
      <c r="B24" s="27"/>
    </row>
  </sheetData>
  <pageMargins left="0.7" right="0.7" top="0.75" bottom="0.75" header="0.3" footer="0.3"/>
  <pageSetup orientation="portrait" horizontalDpi="4294967293" verticalDpi="4294967293" r:id="rId1"/>
  <drawing r:id="rId2"/>
  <tableParts count="68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/>
  <dimension ref="A1:B21"/>
  <sheetViews>
    <sheetView zoomScale="120" zoomScaleNormal="120" workbookViewId="0">
      <selection activeCell="F15" sqref="F15"/>
    </sheetView>
  </sheetViews>
  <sheetFormatPr baseColWidth="10" defaultColWidth="11.42578125" defaultRowHeight="15" x14ac:dyDescent="0.25"/>
  <cols>
    <col min="2" max="2" width="75.5703125" bestFit="1" customWidth="1"/>
  </cols>
  <sheetData>
    <row r="1" spans="1:2" x14ac:dyDescent="0.25">
      <c r="A1" s="2" t="s">
        <v>3</v>
      </c>
      <c r="B1" s="2" t="s">
        <v>0</v>
      </c>
    </row>
    <row r="2" spans="1:2" x14ac:dyDescent="0.25">
      <c r="A2" s="21" t="s">
        <v>408</v>
      </c>
    </row>
    <row r="3" spans="1:2" x14ac:dyDescent="0.25">
      <c r="A3" s="21" t="s">
        <v>502</v>
      </c>
    </row>
    <row r="4" spans="1:2" x14ac:dyDescent="0.25">
      <c r="A4" s="21" t="s">
        <v>503</v>
      </c>
    </row>
    <row r="5" spans="1:2" x14ac:dyDescent="0.25">
      <c r="A5" s="21" t="s">
        <v>505</v>
      </c>
    </row>
    <row r="6" spans="1:2" x14ac:dyDescent="0.25">
      <c r="A6" s="21" t="s">
        <v>504</v>
      </c>
    </row>
    <row r="7" spans="1:2" x14ac:dyDescent="0.25">
      <c r="A7" s="21" t="s">
        <v>506</v>
      </c>
    </row>
    <row r="8" spans="1:2" x14ac:dyDescent="0.25">
      <c r="A8" s="21" t="s">
        <v>507</v>
      </c>
    </row>
    <row r="9" spans="1:2" x14ac:dyDescent="0.25">
      <c r="A9" s="21" t="s">
        <v>518</v>
      </c>
    </row>
    <row r="10" spans="1:2" x14ac:dyDescent="0.25">
      <c r="A10" s="21" t="s">
        <v>521</v>
      </c>
    </row>
    <row r="11" spans="1:2" x14ac:dyDescent="0.25">
      <c r="A11" s="21" t="s">
        <v>515</v>
      </c>
    </row>
    <row r="12" spans="1:2" x14ac:dyDescent="0.25">
      <c r="A12" s="21" t="s">
        <v>790</v>
      </c>
    </row>
    <row r="13" spans="1:2" x14ac:dyDescent="0.25">
      <c r="A13" s="21" t="s">
        <v>1043</v>
      </c>
    </row>
    <row r="14" spans="1:2" x14ac:dyDescent="0.25">
      <c r="A14" s="21" t="s">
        <v>1044</v>
      </c>
    </row>
    <row r="15" spans="1:2" x14ac:dyDescent="0.25">
      <c r="A15" s="21" t="s">
        <v>1045</v>
      </c>
    </row>
    <row r="16" spans="1:2" x14ac:dyDescent="0.25">
      <c r="A16" s="21" t="s">
        <v>1046</v>
      </c>
    </row>
    <row r="17" spans="1:1" x14ac:dyDescent="0.25">
      <c r="A17" s="21" t="s">
        <v>1047</v>
      </c>
    </row>
    <row r="18" spans="1:1" x14ac:dyDescent="0.25">
      <c r="A18" s="21" t="s">
        <v>1048</v>
      </c>
    </row>
    <row r="19" spans="1:1" x14ac:dyDescent="0.25">
      <c r="A19" s="21" t="s">
        <v>1049</v>
      </c>
    </row>
    <row r="20" spans="1:1" x14ac:dyDescent="0.25">
      <c r="A20" s="21" t="s">
        <v>1050</v>
      </c>
    </row>
    <row r="21" spans="1:1" x14ac:dyDescent="0.25">
      <c r="A21" s="21" t="s">
        <v>1051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3"/>
  <dimension ref="B1:C81"/>
  <sheetViews>
    <sheetView showGridLines="0" topLeftCell="A70" workbookViewId="0">
      <selection activeCell="C4" sqref="C4"/>
    </sheetView>
  </sheetViews>
  <sheetFormatPr baseColWidth="10" defaultColWidth="11.42578125" defaultRowHeight="15" x14ac:dyDescent="0.25"/>
  <cols>
    <col min="2" max="2" width="11.42578125" style="21"/>
    <col min="3" max="3" width="81.85546875" customWidth="1"/>
  </cols>
  <sheetData>
    <row r="1" spans="2:3" x14ac:dyDescent="0.25">
      <c r="B1" s="30" t="s">
        <v>408</v>
      </c>
      <c r="C1" s="99" t="s">
        <v>248</v>
      </c>
    </row>
    <row r="2" spans="2:3" x14ac:dyDescent="0.25">
      <c r="B2" s="30"/>
      <c r="C2" s="99"/>
    </row>
    <row r="3" spans="2:3" x14ac:dyDescent="0.25">
      <c r="B3" s="30"/>
      <c r="C3" s="100"/>
    </row>
    <row r="4" spans="2:3" x14ac:dyDescent="0.25">
      <c r="B4" s="30" t="s">
        <v>502</v>
      </c>
      <c r="C4" s="100" t="s">
        <v>248</v>
      </c>
    </row>
    <row r="5" spans="2:3" x14ac:dyDescent="0.25">
      <c r="B5" s="30" t="s">
        <v>502</v>
      </c>
      <c r="C5" s="99"/>
    </row>
    <row r="6" spans="2:3" x14ac:dyDescent="0.25">
      <c r="B6" s="30"/>
      <c r="C6" s="100"/>
    </row>
    <row r="7" spans="2:3" x14ac:dyDescent="0.25">
      <c r="B7" s="30" t="s">
        <v>503</v>
      </c>
      <c r="C7" s="100" t="s">
        <v>248</v>
      </c>
    </row>
    <row r="8" spans="2:3" x14ac:dyDescent="0.25">
      <c r="B8" s="30"/>
      <c r="C8" s="99"/>
    </row>
    <row r="9" spans="2:3" x14ac:dyDescent="0.25">
      <c r="B9" s="30"/>
      <c r="C9" s="100"/>
    </row>
    <row r="10" spans="2:3" x14ac:dyDescent="0.25">
      <c r="B10" s="30" t="s">
        <v>505</v>
      </c>
      <c r="C10" s="100" t="s">
        <v>248</v>
      </c>
    </row>
    <row r="11" spans="2:3" x14ac:dyDescent="0.25">
      <c r="B11" s="30"/>
      <c r="C11" s="99"/>
    </row>
    <row r="12" spans="2:3" x14ac:dyDescent="0.25">
      <c r="B12" s="30"/>
      <c r="C12" s="100"/>
    </row>
    <row r="13" spans="2:3" x14ac:dyDescent="0.25">
      <c r="B13" s="30" t="s">
        <v>504</v>
      </c>
      <c r="C13" s="100" t="s">
        <v>248</v>
      </c>
    </row>
    <row r="14" spans="2:3" x14ac:dyDescent="0.25">
      <c r="B14" s="30"/>
      <c r="C14" s="100"/>
    </row>
    <row r="15" spans="2:3" x14ac:dyDescent="0.25">
      <c r="B15" s="30"/>
      <c r="C15" s="100"/>
    </row>
    <row r="16" spans="2:3" x14ac:dyDescent="0.25">
      <c r="B16" s="30" t="s">
        <v>506</v>
      </c>
      <c r="C16" s="100" t="s">
        <v>248</v>
      </c>
    </row>
    <row r="17" spans="2:3" x14ac:dyDescent="0.25">
      <c r="B17" s="30"/>
      <c r="C17" s="99"/>
    </row>
    <row r="18" spans="2:3" x14ac:dyDescent="0.25">
      <c r="B18" s="30"/>
      <c r="C18" s="100"/>
    </row>
    <row r="19" spans="2:3" x14ac:dyDescent="0.25">
      <c r="B19" s="30" t="s">
        <v>507</v>
      </c>
      <c r="C19" s="100" t="s">
        <v>248</v>
      </c>
    </row>
    <row r="20" spans="2:3" x14ac:dyDescent="0.25">
      <c r="B20" s="30"/>
      <c r="C20" s="99"/>
    </row>
    <row r="21" spans="2:3" x14ac:dyDescent="0.25">
      <c r="B21" s="30"/>
      <c r="C21" s="100"/>
    </row>
    <row r="22" spans="2:3" x14ac:dyDescent="0.25">
      <c r="B22" s="30" t="s">
        <v>518</v>
      </c>
      <c r="C22" s="100" t="s">
        <v>248</v>
      </c>
    </row>
    <row r="23" spans="2:3" x14ac:dyDescent="0.25">
      <c r="B23" s="30"/>
      <c r="C23" s="99"/>
    </row>
    <row r="24" spans="2:3" x14ac:dyDescent="0.25">
      <c r="B24" s="30"/>
      <c r="C24" s="100"/>
    </row>
    <row r="25" spans="2:3" x14ac:dyDescent="0.25">
      <c r="B25" s="30" t="s">
        <v>521</v>
      </c>
      <c r="C25" s="100" t="s">
        <v>248</v>
      </c>
    </row>
    <row r="26" spans="2:3" x14ac:dyDescent="0.25">
      <c r="B26" s="30"/>
      <c r="C26" s="99"/>
    </row>
    <row r="27" spans="2:3" x14ac:dyDescent="0.25">
      <c r="B27" s="30"/>
      <c r="C27" s="100"/>
    </row>
    <row r="28" spans="2:3" x14ac:dyDescent="0.25">
      <c r="B28" s="30" t="s">
        <v>515</v>
      </c>
      <c r="C28" s="100" t="s">
        <v>248</v>
      </c>
    </row>
    <row r="29" spans="2:3" x14ac:dyDescent="0.25">
      <c r="B29" s="30"/>
      <c r="C29" s="99"/>
    </row>
    <row r="30" spans="2:3" x14ac:dyDescent="0.25">
      <c r="B30" s="30"/>
      <c r="C30" s="100"/>
    </row>
    <row r="31" spans="2:3" x14ac:dyDescent="0.25">
      <c r="B31" s="30" t="s">
        <v>790</v>
      </c>
      <c r="C31" s="100" t="s">
        <v>248</v>
      </c>
    </row>
    <row r="32" spans="2:3" x14ac:dyDescent="0.25">
      <c r="B32" s="30"/>
      <c r="C32" s="99"/>
    </row>
    <row r="33" spans="2:3" x14ac:dyDescent="0.25">
      <c r="B33" s="30"/>
      <c r="C33" s="100"/>
    </row>
    <row r="34" spans="2:3" x14ac:dyDescent="0.25">
      <c r="B34" s="30" t="s">
        <v>1043</v>
      </c>
      <c r="C34" s="100" t="s">
        <v>248</v>
      </c>
    </row>
    <row r="35" spans="2:3" x14ac:dyDescent="0.25">
      <c r="B35" s="30"/>
      <c r="C35" s="100"/>
    </row>
    <row r="36" spans="2:3" x14ac:dyDescent="0.25">
      <c r="B36" s="30"/>
      <c r="C36" s="100"/>
    </row>
    <row r="37" spans="2:3" x14ac:dyDescent="0.25">
      <c r="B37" s="30" t="s">
        <v>1044</v>
      </c>
      <c r="C37" s="100" t="s">
        <v>248</v>
      </c>
    </row>
    <row r="38" spans="2:3" x14ac:dyDescent="0.25">
      <c r="B38" s="30"/>
      <c r="C38" s="100"/>
    </row>
    <row r="39" spans="2:3" x14ac:dyDescent="0.25">
      <c r="B39" s="30"/>
      <c r="C39" s="100"/>
    </row>
    <row r="40" spans="2:3" x14ac:dyDescent="0.25">
      <c r="B40" s="30" t="s">
        <v>1045</v>
      </c>
      <c r="C40" s="100" t="s">
        <v>248</v>
      </c>
    </row>
    <row r="41" spans="2:3" x14ac:dyDescent="0.25">
      <c r="B41" s="30"/>
      <c r="C41" s="100"/>
    </row>
    <row r="42" spans="2:3" x14ac:dyDescent="0.25">
      <c r="B42" s="30"/>
      <c r="C42" s="100"/>
    </row>
    <row r="43" spans="2:3" x14ac:dyDescent="0.25">
      <c r="B43" s="30" t="s">
        <v>1046</v>
      </c>
      <c r="C43" s="100" t="s">
        <v>248</v>
      </c>
    </row>
    <row r="44" spans="2:3" x14ac:dyDescent="0.25">
      <c r="B44" s="30"/>
      <c r="C44" s="100"/>
    </row>
    <row r="45" spans="2:3" x14ac:dyDescent="0.25">
      <c r="B45" s="30"/>
      <c r="C45" s="100"/>
    </row>
    <row r="46" spans="2:3" x14ac:dyDescent="0.25">
      <c r="B46" s="30" t="s">
        <v>1047</v>
      </c>
      <c r="C46" s="100" t="s">
        <v>248</v>
      </c>
    </row>
    <row r="47" spans="2:3" x14ac:dyDescent="0.25">
      <c r="B47" s="30"/>
      <c r="C47" s="100"/>
    </row>
    <row r="48" spans="2:3" x14ac:dyDescent="0.25">
      <c r="B48" s="30"/>
      <c r="C48" s="100"/>
    </row>
    <row r="49" spans="2:3" x14ac:dyDescent="0.25">
      <c r="B49" s="30" t="s">
        <v>1048</v>
      </c>
      <c r="C49" s="100" t="s">
        <v>248</v>
      </c>
    </row>
    <row r="50" spans="2:3" x14ac:dyDescent="0.25">
      <c r="B50" s="30"/>
      <c r="C50" s="100"/>
    </row>
    <row r="51" spans="2:3" x14ac:dyDescent="0.25">
      <c r="B51" s="30"/>
      <c r="C51" s="100"/>
    </row>
    <row r="52" spans="2:3" x14ac:dyDescent="0.25">
      <c r="B52" s="30" t="s">
        <v>1049</v>
      </c>
      <c r="C52" s="100" t="s">
        <v>248</v>
      </c>
    </row>
    <row r="53" spans="2:3" x14ac:dyDescent="0.25">
      <c r="B53" s="30"/>
      <c r="C53" s="100"/>
    </row>
    <row r="54" spans="2:3" x14ac:dyDescent="0.25">
      <c r="B54" s="30"/>
      <c r="C54" s="100"/>
    </row>
    <row r="55" spans="2:3" x14ac:dyDescent="0.25">
      <c r="B55" s="30" t="s">
        <v>1050</v>
      </c>
      <c r="C55" s="100" t="s">
        <v>248</v>
      </c>
    </row>
    <row r="56" spans="2:3" x14ac:dyDescent="0.25">
      <c r="B56" s="30"/>
      <c r="C56" s="100"/>
    </row>
    <row r="57" spans="2:3" x14ac:dyDescent="0.25">
      <c r="B57" s="30"/>
      <c r="C57" s="100"/>
    </row>
    <row r="58" spans="2:3" x14ac:dyDescent="0.25">
      <c r="B58" s="30" t="s">
        <v>1051</v>
      </c>
      <c r="C58" s="100" t="s">
        <v>248</v>
      </c>
    </row>
    <row r="59" spans="2:3" x14ac:dyDescent="0.25">
      <c r="B59" s="30"/>
      <c r="C59" s="100"/>
    </row>
    <row r="60" spans="2:3" x14ac:dyDescent="0.25">
      <c r="B60" s="30"/>
      <c r="C60" s="100"/>
    </row>
    <row r="61" spans="2:3" x14ac:dyDescent="0.25">
      <c r="B61" s="30" t="s">
        <v>249</v>
      </c>
      <c r="C61" s="100" t="s">
        <v>248</v>
      </c>
    </row>
    <row r="62" spans="2:3" x14ac:dyDescent="0.25">
      <c r="B62" s="30"/>
      <c r="C62" s="100"/>
    </row>
    <row r="63" spans="2:3" x14ac:dyDescent="0.25">
      <c r="B63" s="30"/>
      <c r="C63" s="100"/>
    </row>
    <row r="64" spans="2:3" x14ac:dyDescent="0.25">
      <c r="B64" s="30" t="s">
        <v>249</v>
      </c>
      <c r="C64" s="100" t="s">
        <v>248</v>
      </c>
    </row>
    <row r="65" spans="2:3" x14ac:dyDescent="0.25">
      <c r="B65" s="30"/>
      <c r="C65" s="100"/>
    </row>
    <row r="66" spans="2:3" x14ac:dyDescent="0.25">
      <c r="B66" s="30"/>
      <c r="C66" s="100"/>
    </row>
    <row r="67" spans="2:3" x14ac:dyDescent="0.25">
      <c r="B67" s="30" t="s">
        <v>249</v>
      </c>
      <c r="C67" s="100" t="s">
        <v>248</v>
      </c>
    </row>
    <row r="68" spans="2:3" x14ac:dyDescent="0.25">
      <c r="B68" s="30"/>
      <c r="C68" s="100"/>
    </row>
    <row r="69" spans="2:3" x14ac:dyDescent="0.25">
      <c r="B69" s="30"/>
      <c r="C69" s="100"/>
    </row>
    <row r="70" spans="2:3" x14ac:dyDescent="0.25">
      <c r="B70" s="30" t="s">
        <v>249</v>
      </c>
      <c r="C70" s="100" t="s">
        <v>248</v>
      </c>
    </row>
    <row r="71" spans="2:3" x14ac:dyDescent="0.25">
      <c r="B71" s="30"/>
      <c r="C71" s="100"/>
    </row>
    <row r="72" spans="2:3" x14ac:dyDescent="0.25">
      <c r="B72" s="30"/>
      <c r="C72" s="100"/>
    </row>
    <row r="73" spans="2:3" x14ac:dyDescent="0.25">
      <c r="B73" s="30" t="s">
        <v>249</v>
      </c>
      <c r="C73" s="100" t="s">
        <v>248</v>
      </c>
    </row>
    <row r="74" spans="2:3" x14ac:dyDescent="0.25">
      <c r="B74" s="30"/>
      <c r="C74" s="100"/>
    </row>
    <row r="75" spans="2:3" x14ac:dyDescent="0.25">
      <c r="B75" s="30"/>
      <c r="C75" s="100"/>
    </row>
    <row r="76" spans="2:3" x14ac:dyDescent="0.25">
      <c r="B76" s="30" t="s">
        <v>249</v>
      </c>
      <c r="C76" s="100" t="s">
        <v>248</v>
      </c>
    </row>
    <row r="77" spans="2:3" x14ac:dyDescent="0.25">
      <c r="B77" s="30"/>
      <c r="C77" s="100"/>
    </row>
    <row r="78" spans="2:3" x14ac:dyDescent="0.25">
      <c r="B78" s="30"/>
      <c r="C78" s="100"/>
    </row>
    <row r="79" spans="2:3" x14ac:dyDescent="0.25">
      <c r="B79" s="30" t="s">
        <v>249</v>
      </c>
      <c r="C79" s="100" t="s">
        <v>248</v>
      </c>
    </row>
    <row r="80" spans="2:3" x14ac:dyDescent="0.25">
      <c r="B80" s="30"/>
      <c r="C80" s="100"/>
    </row>
    <row r="81" spans="2:3" x14ac:dyDescent="0.25">
      <c r="B81" s="30"/>
      <c r="C81" s="100"/>
    </row>
  </sheetData>
  <pageMargins left="0.7" right="0.7" top="0.75" bottom="0.75" header="0.3" footer="0.3"/>
  <pageSetup orientation="portrait" horizontalDpi="4294967293" verticalDpi="4294967293" r:id="rId1"/>
  <tableParts count="2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0"/>
  <dimension ref="A1:N80"/>
  <sheetViews>
    <sheetView zoomScaleNormal="100" workbookViewId="0">
      <pane ySplit="5" topLeftCell="A18" activePane="bottomLeft" state="frozen"/>
      <selection activeCell="A6" sqref="A6"/>
      <selection pane="bottomLeft" activeCell="B7" sqref="B7"/>
    </sheetView>
  </sheetViews>
  <sheetFormatPr baseColWidth="10" defaultColWidth="11.42578125" defaultRowHeight="20.25" customHeight="1" x14ac:dyDescent="0.25"/>
  <cols>
    <col min="1" max="1" width="10.140625" style="71" customWidth="1"/>
    <col min="2" max="2" width="60.5703125" style="72" customWidth="1"/>
    <col min="3" max="3" width="15.42578125" style="72" customWidth="1"/>
    <col min="4" max="4" width="18.42578125" style="72" customWidth="1"/>
    <col min="5" max="5" width="46.7109375" style="72" customWidth="1"/>
    <col min="6" max="6" width="16.42578125" style="72" customWidth="1"/>
    <col min="7" max="7" width="20" style="72" customWidth="1"/>
    <col min="8" max="8" width="18.28515625" style="80" customWidth="1"/>
    <col min="9" max="9" width="19.85546875" style="72" customWidth="1"/>
    <col min="10" max="10" width="38.42578125" style="72" customWidth="1"/>
    <col min="11" max="11" width="15" style="72" customWidth="1"/>
    <col min="12" max="12" width="16.5703125" style="72" customWidth="1"/>
    <col min="13" max="13" width="42.140625" style="72" customWidth="1"/>
    <col min="14" max="14" width="33.7109375" style="72" customWidth="1"/>
    <col min="15" max="16384" width="11.42578125" style="72"/>
  </cols>
  <sheetData>
    <row r="1" spans="1:14" s="67" customFormat="1" ht="15" customHeight="1" x14ac:dyDescent="0.2">
      <c r="A1" s="112"/>
      <c r="B1" s="112"/>
      <c r="C1" s="113" t="s">
        <v>1026</v>
      </c>
      <c r="D1" s="114"/>
      <c r="E1" s="114"/>
      <c r="F1" s="114"/>
      <c r="G1" s="114"/>
      <c r="H1" s="114"/>
      <c r="I1" s="114"/>
      <c r="J1" s="114"/>
      <c r="K1" s="114"/>
      <c r="L1" s="114"/>
      <c r="M1" s="115"/>
      <c r="N1" s="66" t="s">
        <v>1027</v>
      </c>
    </row>
    <row r="2" spans="1:14" s="67" customFormat="1" ht="15" customHeight="1" x14ac:dyDescent="0.2">
      <c r="A2" s="112"/>
      <c r="B2" s="112"/>
      <c r="C2" s="116"/>
      <c r="D2" s="117"/>
      <c r="E2" s="117"/>
      <c r="F2" s="117"/>
      <c r="G2" s="117"/>
      <c r="H2" s="117"/>
      <c r="I2" s="117"/>
      <c r="J2" s="117"/>
      <c r="K2" s="117"/>
      <c r="L2" s="117"/>
      <c r="M2" s="118"/>
      <c r="N2" s="66" t="s">
        <v>1028</v>
      </c>
    </row>
    <row r="3" spans="1:14" s="67" customFormat="1" ht="27.75" customHeight="1" x14ac:dyDescent="0.2">
      <c r="A3" s="112"/>
      <c r="B3" s="112"/>
      <c r="C3" s="119"/>
      <c r="D3" s="120"/>
      <c r="E3" s="120"/>
      <c r="F3" s="120"/>
      <c r="G3" s="120"/>
      <c r="H3" s="120"/>
      <c r="I3" s="120"/>
      <c r="J3" s="120"/>
      <c r="K3" s="120"/>
      <c r="L3" s="120"/>
      <c r="M3" s="121"/>
      <c r="N3" s="66" t="s">
        <v>1029</v>
      </c>
    </row>
    <row r="4" spans="1:14" s="67" customFormat="1" ht="9.75" customHeight="1" x14ac:dyDescent="0.2">
      <c r="A4" s="68"/>
      <c r="B4" s="122" t="s">
        <v>1902</v>
      </c>
      <c r="C4" s="122"/>
      <c r="D4" s="122"/>
      <c r="E4" s="122"/>
      <c r="F4" s="122"/>
      <c r="G4" s="122"/>
      <c r="H4" s="122"/>
      <c r="I4" s="67" t="s">
        <v>1903</v>
      </c>
      <c r="J4" s="67" t="s">
        <v>1904</v>
      </c>
      <c r="K4" s="67" t="s">
        <v>1905</v>
      </c>
      <c r="L4" s="67">
        <v>3147041252</v>
      </c>
      <c r="M4" s="67" t="s">
        <v>1906</v>
      </c>
    </row>
    <row r="5" spans="1:14" s="67" customFormat="1" ht="15" x14ac:dyDescent="0.25">
      <c r="A5" s="69" t="s">
        <v>1030</v>
      </c>
      <c r="B5" s="101" t="s">
        <v>1031</v>
      </c>
      <c r="C5" s="70" t="s">
        <v>1032</v>
      </c>
      <c r="D5" s="70" t="s">
        <v>1033</v>
      </c>
      <c r="E5" s="70" t="s">
        <v>1034</v>
      </c>
      <c r="F5" s="70" t="s">
        <v>1035</v>
      </c>
      <c r="G5" s="70" t="s">
        <v>1036</v>
      </c>
      <c r="H5" s="70" t="s">
        <v>1037</v>
      </c>
      <c r="I5" s="70"/>
      <c r="J5" s="70" t="s">
        <v>1038</v>
      </c>
      <c r="K5" s="70" t="s">
        <v>1039</v>
      </c>
      <c r="L5" s="70" t="s">
        <v>1040</v>
      </c>
      <c r="M5" s="70" t="s">
        <v>1041</v>
      </c>
      <c r="N5" s="70" t="s">
        <v>235</v>
      </c>
    </row>
    <row r="6" spans="1:14" ht="20.25" customHeight="1" x14ac:dyDescent="0.25">
      <c r="A6" s="71">
        <v>1</v>
      </c>
      <c r="D6" s="73"/>
      <c r="F6" s="74"/>
      <c r="H6" s="72"/>
      <c r="M6" s="75"/>
    </row>
    <row r="7" spans="1:14" ht="20.25" customHeight="1" x14ac:dyDescent="0.25">
      <c r="A7" s="71">
        <v>2</v>
      </c>
      <c r="D7" s="73"/>
      <c r="F7" s="74"/>
      <c r="H7" s="72"/>
      <c r="M7" s="75"/>
    </row>
    <row r="8" spans="1:14" ht="20.25" customHeight="1" x14ac:dyDescent="0.25">
      <c r="A8" s="71">
        <v>3</v>
      </c>
      <c r="B8" s="72" t="s">
        <v>1165</v>
      </c>
      <c r="C8" s="72">
        <v>900205217</v>
      </c>
      <c r="D8" s="73" t="s">
        <v>1146</v>
      </c>
      <c r="E8" s="76" t="s">
        <v>1166</v>
      </c>
      <c r="F8" s="74">
        <v>3108604339</v>
      </c>
      <c r="G8" s="72" t="s">
        <v>1161</v>
      </c>
      <c r="H8" s="72" t="s">
        <v>1162</v>
      </c>
      <c r="I8" s="72" t="s">
        <v>1159</v>
      </c>
      <c r="J8" s="72" t="s">
        <v>1167</v>
      </c>
      <c r="K8" s="72" t="s">
        <v>1168</v>
      </c>
      <c r="L8" s="72">
        <v>3138850845</v>
      </c>
      <c r="M8" s="75" t="s">
        <v>1160</v>
      </c>
    </row>
    <row r="9" spans="1:14" ht="20.25" customHeight="1" x14ac:dyDescent="0.25">
      <c r="A9" s="71">
        <v>4</v>
      </c>
      <c r="D9" s="73"/>
      <c r="H9" s="72"/>
      <c r="M9" s="75"/>
    </row>
    <row r="10" spans="1:14" ht="20.25" customHeight="1" x14ac:dyDescent="0.25">
      <c r="A10" s="71">
        <v>5</v>
      </c>
      <c r="D10" s="73"/>
      <c r="F10" s="74"/>
      <c r="H10" s="72"/>
      <c r="M10" s="75"/>
    </row>
    <row r="11" spans="1:14" ht="20.25" customHeight="1" x14ac:dyDescent="0.25">
      <c r="A11" s="71">
        <v>6</v>
      </c>
      <c r="D11" s="73"/>
      <c r="H11" s="72"/>
      <c r="M11" s="75"/>
    </row>
    <row r="12" spans="1:14" ht="20.25" customHeight="1" x14ac:dyDescent="0.25">
      <c r="A12" s="71">
        <v>7</v>
      </c>
      <c r="D12" s="73"/>
      <c r="F12" s="74"/>
      <c r="H12" s="72"/>
      <c r="M12" s="75"/>
    </row>
    <row r="13" spans="1:14" ht="20.25" customHeight="1" x14ac:dyDescent="0.25">
      <c r="A13" s="71">
        <v>8</v>
      </c>
      <c r="B13" s="72" t="s">
        <v>882</v>
      </c>
      <c r="D13" s="73"/>
      <c r="F13" s="74"/>
      <c r="H13" s="72"/>
      <c r="M13" s="75"/>
    </row>
    <row r="14" spans="1:14" ht="20.25" customHeight="1" x14ac:dyDescent="0.25">
      <c r="A14" s="71">
        <v>9</v>
      </c>
      <c r="D14" s="73"/>
      <c r="F14" s="74"/>
      <c r="H14" s="72"/>
      <c r="M14" s="75"/>
    </row>
    <row r="15" spans="1:14" ht="20.25" customHeight="1" x14ac:dyDescent="0.25">
      <c r="A15" s="71">
        <v>10</v>
      </c>
      <c r="B15" s="72" t="s">
        <v>1060</v>
      </c>
      <c r="D15" s="73"/>
      <c r="E15" s="72" t="s">
        <v>1275</v>
      </c>
      <c r="F15" s="72">
        <v>2755410</v>
      </c>
      <c r="G15" s="72" t="s">
        <v>1147</v>
      </c>
      <c r="H15" s="72"/>
      <c r="J15" s="72" t="s">
        <v>1276</v>
      </c>
      <c r="K15" s="72" t="s">
        <v>1277</v>
      </c>
      <c r="L15" s="72">
        <v>3186089178</v>
      </c>
    </row>
    <row r="16" spans="1:14" ht="20.25" customHeight="1" x14ac:dyDescent="0.25">
      <c r="A16" s="71">
        <v>11</v>
      </c>
      <c r="D16" s="73"/>
      <c r="F16" s="74"/>
      <c r="H16" s="72"/>
      <c r="M16" s="75"/>
    </row>
    <row r="17" spans="1:13" ht="20.25" customHeight="1" x14ac:dyDescent="0.25">
      <c r="A17" s="71">
        <v>12</v>
      </c>
      <c r="D17" s="73"/>
      <c r="F17" s="74"/>
      <c r="H17" s="72"/>
    </row>
    <row r="18" spans="1:13" ht="20.25" customHeight="1" x14ac:dyDescent="0.25">
      <c r="A18" s="71">
        <v>13</v>
      </c>
      <c r="B18" s="72" t="s">
        <v>1273</v>
      </c>
      <c r="C18" s="72" t="s">
        <v>1274</v>
      </c>
      <c r="D18" s="73" t="s">
        <v>11</v>
      </c>
      <c r="E18" s="72" t="s">
        <v>1275</v>
      </c>
      <c r="F18" s="72">
        <v>2755410</v>
      </c>
      <c r="G18" s="72" t="s">
        <v>1147</v>
      </c>
      <c r="H18" s="72"/>
      <c r="J18" s="72" t="s">
        <v>1276</v>
      </c>
      <c r="K18" s="72" t="s">
        <v>1277</v>
      </c>
      <c r="L18" s="72">
        <v>3186089178</v>
      </c>
    </row>
    <row r="19" spans="1:13" ht="20.25" customHeight="1" x14ac:dyDescent="0.25">
      <c r="A19" s="71">
        <v>14</v>
      </c>
      <c r="B19" s="72" t="s">
        <v>1061</v>
      </c>
      <c r="D19" s="73"/>
      <c r="F19" s="74"/>
      <c r="H19" s="72"/>
      <c r="M19" s="75"/>
    </row>
    <row r="20" spans="1:13" ht="20.25" customHeight="1" x14ac:dyDescent="0.25">
      <c r="A20" s="71">
        <v>15</v>
      </c>
      <c r="B20" s="72" t="s">
        <v>511</v>
      </c>
      <c r="C20" s="72" t="s">
        <v>1145</v>
      </c>
      <c r="D20" s="73" t="s">
        <v>1146</v>
      </c>
      <c r="E20" s="72" t="s">
        <v>1275</v>
      </c>
      <c r="F20" s="72">
        <v>2755410</v>
      </c>
      <c r="G20" s="72" t="s">
        <v>1147</v>
      </c>
      <c r="H20" s="72"/>
      <c r="J20" s="72" t="s">
        <v>1276</v>
      </c>
      <c r="K20" s="72" t="s">
        <v>1277</v>
      </c>
      <c r="L20" s="72">
        <v>3186089178</v>
      </c>
      <c r="M20" s="75"/>
    </row>
    <row r="21" spans="1:13" ht="20.25" customHeight="1" x14ac:dyDescent="0.25">
      <c r="A21" s="71">
        <v>16</v>
      </c>
      <c r="D21" s="73"/>
      <c r="F21" s="74"/>
      <c r="H21" s="72"/>
      <c r="M21" s="75"/>
    </row>
    <row r="22" spans="1:13" ht="20.25" customHeight="1" x14ac:dyDescent="0.25">
      <c r="A22" s="71">
        <v>17</v>
      </c>
      <c r="B22" s="72" t="s">
        <v>1062</v>
      </c>
      <c r="D22" s="73"/>
      <c r="F22" s="74"/>
      <c r="H22" s="72"/>
      <c r="L22" s="74"/>
      <c r="M22" s="75"/>
    </row>
    <row r="23" spans="1:13" ht="20.25" customHeight="1" x14ac:dyDescent="0.25">
      <c r="A23" s="71">
        <v>18</v>
      </c>
      <c r="D23" s="73"/>
      <c r="F23" s="74"/>
      <c r="H23" s="72"/>
      <c r="L23" s="74"/>
      <c r="M23" s="75"/>
    </row>
    <row r="24" spans="1:13" ht="20.25" customHeight="1" x14ac:dyDescent="0.25">
      <c r="A24" s="71">
        <v>19</v>
      </c>
      <c r="D24" s="73"/>
      <c r="F24" s="74"/>
      <c r="H24" s="72"/>
      <c r="L24" s="74"/>
      <c r="M24" s="75"/>
    </row>
    <row r="25" spans="1:13" ht="20.25" customHeight="1" x14ac:dyDescent="0.25">
      <c r="A25" s="71">
        <v>20</v>
      </c>
      <c r="D25" s="73"/>
      <c r="F25" s="74"/>
      <c r="H25" s="72"/>
      <c r="L25" s="74"/>
      <c r="M25" s="75"/>
    </row>
    <row r="26" spans="1:13" ht="20.25" customHeight="1" x14ac:dyDescent="0.25">
      <c r="A26" s="71">
        <v>21</v>
      </c>
      <c r="D26" s="73"/>
      <c r="F26" s="74"/>
      <c r="H26" s="72"/>
      <c r="M26" s="75"/>
    </row>
    <row r="27" spans="1:13" ht="20.25" customHeight="1" x14ac:dyDescent="0.25">
      <c r="A27" s="71">
        <v>22</v>
      </c>
      <c r="D27" s="73"/>
      <c r="F27" s="74"/>
      <c r="H27" s="72"/>
      <c r="M27" s="75"/>
    </row>
    <row r="28" spans="1:13" ht="20.25" customHeight="1" x14ac:dyDescent="0.25">
      <c r="A28" s="71">
        <v>23</v>
      </c>
      <c r="D28" s="73"/>
      <c r="E28" s="77"/>
      <c r="F28" s="77"/>
      <c r="H28" s="72"/>
      <c r="I28" s="78"/>
      <c r="M28" s="75"/>
    </row>
    <row r="29" spans="1:13" ht="20.25" customHeight="1" x14ac:dyDescent="0.25">
      <c r="A29" s="71">
        <v>24</v>
      </c>
      <c r="D29" s="73"/>
      <c r="F29" s="74"/>
      <c r="H29" s="72"/>
      <c r="M29" s="75"/>
    </row>
    <row r="30" spans="1:13" ht="20.25" customHeight="1" x14ac:dyDescent="0.25">
      <c r="A30" s="71">
        <v>25</v>
      </c>
      <c r="D30" s="73"/>
      <c r="F30" s="74"/>
      <c r="H30" s="72"/>
      <c r="L30" s="79"/>
      <c r="M30" s="75"/>
    </row>
    <row r="31" spans="1:13" ht="20.25" customHeight="1" x14ac:dyDescent="0.25">
      <c r="A31" s="71">
        <v>26</v>
      </c>
      <c r="D31" s="73"/>
      <c r="F31" s="74"/>
      <c r="H31" s="72"/>
      <c r="L31" s="74"/>
      <c r="M31" s="75"/>
    </row>
    <row r="32" spans="1:13" ht="20.25" customHeight="1" x14ac:dyDescent="0.25">
      <c r="A32" s="71">
        <v>27</v>
      </c>
      <c r="D32" s="73"/>
      <c r="H32" s="72"/>
      <c r="L32" s="75"/>
      <c r="M32" s="75"/>
    </row>
    <row r="33" spans="1:13" ht="20.25" customHeight="1" x14ac:dyDescent="0.25">
      <c r="A33" s="71">
        <v>27</v>
      </c>
    </row>
    <row r="34" spans="1:13" ht="20.25" customHeight="1" x14ac:dyDescent="0.25">
      <c r="A34" s="71">
        <v>28</v>
      </c>
      <c r="D34" s="73"/>
      <c r="H34" s="72"/>
      <c r="L34" s="75"/>
    </row>
    <row r="35" spans="1:13" ht="20.25" customHeight="1" x14ac:dyDescent="0.25">
      <c r="A35" s="71">
        <v>29</v>
      </c>
    </row>
    <row r="36" spans="1:13" ht="20.25" customHeight="1" x14ac:dyDescent="0.25">
      <c r="A36" s="71">
        <v>30</v>
      </c>
      <c r="M36" s="81"/>
    </row>
    <row r="37" spans="1:13" ht="20.25" customHeight="1" x14ac:dyDescent="0.25">
      <c r="A37" s="71">
        <v>31</v>
      </c>
    </row>
    <row r="38" spans="1:13" ht="20.25" customHeight="1" x14ac:dyDescent="0.25">
      <c r="A38" s="71">
        <v>32</v>
      </c>
    </row>
    <row r="39" spans="1:13" ht="20.25" customHeight="1" x14ac:dyDescent="0.25">
      <c r="A39" s="71">
        <v>33</v>
      </c>
    </row>
    <row r="40" spans="1:13" ht="20.25" customHeight="1" x14ac:dyDescent="0.25">
      <c r="A40" s="71">
        <v>34</v>
      </c>
    </row>
    <row r="41" spans="1:13" ht="20.25" customHeight="1" x14ac:dyDescent="0.25">
      <c r="A41" s="71">
        <v>35</v>
      </c>
    </row>
    <row r="42" spans="1:13" ht="20.25" customHeight="1" x14ac:dyDescent="0.25">
      <c r="A42" s="71">
        <v>36</v>
      </c>
    </row>
    <row r="43" spans="1:13" ht="20.25" customHeight="1" x14ac:dyDescent="0.25">
      <c r="A43" s="71">
        <v>38</v>
      </c>
    </row>
    <row r="44" spans="1:13" ht="20.25" customHeight="1" x14ac:dyDescent="0.25">
      <c r="A44" s="71">
        <v>39</v>
      </c>
    </row>
    <row r="45" spans="1:13" ht="20.25" customHeight="1" x14ac:dyDescent="0.25">
      <c r="A45" s="71">
        <v>40</v>
      </c>
    </row>
    <row r="46" spans="1:13" ht="20.25" customHeight="1" x14ac:dyDescent="0.25">
      <c r="A46" s="71">
        <v>41</v>
      </c>
      <c r="C46" s="82"/>
      <c r="M46" s="81"/>
    </row>
    <row r="47" spans="1:13" ht="20.25" customHeight="1" x14ac:dyDescent="0.25">
      <c r="A47" s="71">
        <v>42</v>
      </c>
    </row>
    <row r="48" spans="1:13" ht="20.25" customHeight="1" x14ac:dyDescent="0.25">
      <c r="A48" s="71">
        <v>43</v>
      </c>
    </row>
    <row r="49" spans="1:13" ht="20.25" customHeight="1" x14ac:dyDescent="0.25">
      <c r="A49" s="71">
        <v>44</v>
      </c>
    </row>
    <row r="50" spans="1:13" ht="20.25" customHeight="1" x14ac:dyDescent="0.25">
      <c r="A50" s="71">
        <v>45</v>
      </c>
    </row>
    <row r="51" spans="1:13" ht="20.25" customHeight="1" x14ac:dyDescent="0.25">
      <c r="A51" s="71">
        <v>46</v>
      </c>
      <c r="M51" s="81"/>
    </row>
    <row r="52" spans="1:13" ht="20.25" customHeight="1" x14ac:dyDescent="0.25">
      <c r="A52" s="71">
        <v>47</v>
      </c>
    </row>
    <row r="53" spans="1:13" ht="20.25" customHeight="1" x14ac:dyDescent="0.25">
      <c r="A53" s="71">
        <v>48</v>
      </c>
    </row>
    <row r="54" spans="1:13" ht="20.25" customHeight="1" x14ac:dyDescent="0.25">
      <c r="A54" s="71">
        <v>49</v>
      </c>
    </row>
    <row r="55" spans="1:13" ht="20.25" customHeight="1" x14ac:dyDescent="0.25">
      <c r="A55" s="71">
        <v>50</v>
      </c>
    </row>
    <row r="56" spans="1:13" ht="20.25" customHeight="1" x14ac:dyDescent="0.25">
      <c r="A56" s="71">
        <v>51</v>
      </c>
      <c r="M56" s="81"/>
    </row>
    <row r="57" spans="1:13" ht="20.25" customHeight="1" x14ac:dyDescent="0.25">
      <c r="A57" s="71">
        <v>52</v>
      </c>
      <c r="M57" s="81"/>
    </row>
    <row r="58" spans="1:13" ht="20.25" customHeight="1" x14ac:dyDescent="0.25">
      <c r="A58" s="71">
        <v>53</v>
      </c>
    </row>
    <row r="59" spans="1:13" ht="20.25" customHeight="1" x14ac:dyDescent="0.25">
      <c r="A59" s="71">
        <v>54</v>
      </c>
      <c r="M59" s="81"/>
    </row>
    <row r="60" spans="1:13" ht="20.25" customHeight="1" x14ac:dyDescent="0.25">
      <c r="A60" s="71">
        <v>55</v>
      </c>
    </row>
    <row r="61" spans="1:13" ht="20.25" customHeight="1" x14ac:dyDescent="0.25">
      <c r="A61" s="71" t="s">
        <v>408</v>
      </c>
    </row>
    <row r="62" spans="1:13" ht="20.25" customHeight="1" x14ac:dyDescent="0.25">
      <c r="A62" s="71" t="s">
        <v>515</v>
      </c>
      <c r="M62" s="81"/>
    </row>
    <row r="63" spans="1:13" ht="20.25" customHeight="1" x14ac:dyDescent="0.25">
      <c r="A63" s="71" t="s">
        <v>790</v>
      </c>
      <c r="M63" s="81"/>
    </row>
    <row r="64" spans="1:13" ht="20.25" customHeight="1" x14ac:dyDescent="0.25">
      <c r="A64" s="71" t="s">
        <v>1043</v>
      </c>
      <c r="M64" s="81"/>
    </row>
    <row r="65" spans="1:13" ht="20.25" customHeight="1" x14ac:dyDescent="0.25">
      <c r="A65" s="71" t="s">
        <v>1044</v>
      </c>
      <c r="M65" s="81"/>
    </row>
    <row r="66" spans="1:13" ht="20.25" customHeight="1" x14ac:dyDescent="0.25">
      <c r="A66" s="71" t="s">
        <v>1045</v>
      </c>
      <c r="M66" s="81"/>
    </row>
    <row r="67" spans="1:13" ht="20.25" customHeight="1" x14ac:dyDescent="0.25">
      <c r="A67" s="71" t="s">
        <v>1046</v>
      </c>
      <c r="M67" s="81"/>
    </row>
    <row r="68" spans="1:13" ht="20.25" customHeight="1" x14ac:dyDescent="0.25">
      <c r="A68" s="71" t="s">
        <v>1047</v>
      </c>
      <c r="M68" s="81"/>
    </row>
    <row r="69" spans="1:13" ht="20.25" customHeight="1" x14ac:dyDescent="0.25">
      <c r="A69" s="71" t="s">
        <v>1048</v>
      </c>
      <c r="M69" s="81"/>
    </row>
    <row r="70" spans="1:13" ht="20.25" customHeight="1" x14ac:dyDescent="0.25">
      <c r="A70" s="71" t="s">
        <v>1049</v>
      </c>
      <c r="M70" s="81"/>
    </row>
    <row r="71" spans="1:13" ht="20.25" customHeight="1" x14ac:dyDescent="0.25">
      <c r="A71" s="71" t="s">
        <v>1050</v>
      </c>
      <c r="M71" s="81"/>
    </row>
    <row r="72" spans="1:13" ht="20.25" customHeight="1" x14ac:dyDescent="0.25">
      <c r="A72" s="71" t="s">
        <v>502</v>
      </c>
    </row>
    <row r="73" spans="1:13" ht="20.25" customHeight="1" x14ac:dyDescent="0.25">
      <c r="A73" s="71" t="s">
        <v>1051</v>
      </c>
      <c r="M73" s="81"/>
    </row>
    <row r="74" spans="1:13" ht="20.25" customHeight="1" x14ac:dyDescent="0.25">
      <c r="A74" s="71" t="s">
        <v>503</v>
      </c>
    </row>
    <row r="75" spans="1:13" ht="20.25" customHeight="1" x14ac:dyDescent="0.25">
      <c r="A75" s="71" t="s">
        <v>505</v>
      </c>
    </row>
    <row r="76" spans="1:13" ht="20.25" customHeight="1" x14ac:dyDescent="0.25">
      <c r="A76" s="71" t="s">
        <v>504</v>
      </c>
      <c r="M76" s="81"/>
    </row>
    <row r="77" spans="1:13" ht="20.25" customHeight="1" x14ac:dyDescent="0.25">
      <c r="A77" s="71" t="s">
        <v>506</v>
      </c>
      <c r="M77" s="81"/>
    </row>
    <row r="78" spans="1:13" ht="20.25" customHeight="1" x14ac:dyDescent="0.25">
      <c r="A78" s="71" t="s">
        <v>507</v>
      </c>
      <c r="M78" s="81"/>
    </row>
    <row r="79" spans="1:13" ht="20.25" customHeight="1" x14ac:dyDescent="0.25">
      <c r="A79" s="71" t="s">
        <v>518</v>
      </c>
      <c r="M79" s="81"/>
    </row>
    <row r="80" spans="1:13" ht="20.25" customHeight="1" x14ac:dyDescent="0.25">
      <c r="A80" s="71" t="s">
        <v>521</v>
      </c>
      <c r="M80" s="81"/>
    </row>
  </sheetData>
  <sheetProtection algorithmName="SHA-512" hashValue="2EFqltOtP9vVl/vbwp8ZfuTbMROcCAqNVirfhuVl1xY9TId24tD9PNo+9xHWrKIBwNzjjjJSxTggE3x2ft8ZWQ==" saltValue="y1jRU7wQ2Rj/MvhCVnd3gA==" spinCount="100000" sheet="1" objects="1" scenarios="1"/>
  <autoFilter ref="A5:N65" xr:uid="{00000000-0009-0000-0000-000006000000}">
    <sortState ref="A6:N80">
      <sortCondition ref="A5:A65"/>
    </sortState>
  </autoFilter>
  <sortState ref="A6:N500">
    <sortCondition ref="A6:A500"/>
  </sortState>
  <mergeCells count="3">
    <mergeCell ref="A1:B3"/>
    <mergeCell ref="C1:M3"/>
    <mergeCell ref="B4:H4"/>
  </mergeCells>
  <pageMargins left="0.23622047244094491" right="0.23622047244094491" top="0.74803149606299213" bottom="0.74803149606299213" header="0.31496062992125984" footer="0.31496062992125984"/>
  <pageSetup scale="39" firstPageNumber="0" orientation="landscape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1"/>
  <dimension ref="A1:N20"/>
  <sheetViews>
    <sheetView zoomScale="90" zoomScaleNormal="90" zoomScaleSheetLayoutView="100" workbookViewId="0">
      <pane ySplit="5" topLeftCell="A6" activePane="bottomLeft" state="frozen"/>
      <selection activeCell="A6" sqref="A6"/>
      <selection pane="bottomLeft" activeCell="B13" sqref="B13"/>
    </sheetView>
  </sheetViews>
  <sheetFormatPr baseColWidth="10" defaultColWidth="11.42578125" defaultRowHeight="24.75" customHeight="1" x14ac:dyDescent="0.25"/>
  <cols>
    <col min="1" max="1" width="44.140625" style="84" customWidth="1"/>
    <col min="2" max="2" width="7" style="85" customWidth="1"/>
    <col min="3" max="3" width="6.42578125" style="85" customWidth="1"/>
    <col min="4" max="4" width="36" style="87" customWidth="1"/>
    <col min="5" max="5" width="35.7109375" style="87" customWidth="1"/>
    <col min="6" max="6" width="15.42578125" style="87" bestFit="1" customWidth="1"/>
    <col min="7" max="7" width="15" style="87" customWidth="1"/>
    <col min="8" max="8" width="13.5703125" style="88" customWidth="1"/>
    <col min="9" max="9" width="14.140625" style="87" customWidth="1"/>
    <col min="10" max="10" width="22.7109375" style="87" bestFit="1" customWidth="1"/>
    <col min="11" max="11" width="20.140625" style="87" customWidth="1"/>
    <col min="12" max="12" width="14" style="87" bestFit="1" customWidth="1"/>
    <col min="13" max="13" width="43.42578125" style="87" customWidth="1"/>
    <col min="14" max="14" width="24.7109375" style="87" bestFit="1" customWidth="1"/>
    <col min="15" max="16384" width="11.42578125" style="87"/>
  </cols>
  <sheetData>
    <row r="1" spans="1:14" s="79" customFormat="1" ht="16.5" customHeight="1" x14ac:dyDescent="0.25">
      <c r="A1" s="123"/>
      <c r="B1" s="113" t="s">
        <v>1052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5"/>
      <c r="N1" s="66" t="s">
        <v>1027</v>
      </c>
    </row>
    <row r="2" spans="1:14" s="79" customFormat="1" ht="16.5" customHeight="1" x14ac:dyDescent="0.25">
      <c r="A2" s="124"/>
      <c r="B2" s="116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8"/>
      <c r="N2" s="66" t="s">
        <v>1053</v>
      </c>
    </row>
    <row r="3" spans="1:14" s="79" customFormat="1" ht="16.5" customHeight="1" x14ac:dyDescent="0.25">
      <c r="A3" s="125"/>
      <c r="B3" s="119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1"/>
      <c r="N3" s="66" t="s">
        <v>1029</v>
      </c>
    </row>
    <row r="4" spans="1:14" s="72" customFormat="1" ht="9.75" customHeight="1" x14ac:dyDescent="0.25">
      <c r="A4" s="126"/>
      <c r="B4" s="126"/>
      <c r="C4" s="126"/>
      <c r="D4" s="126"/>
      <c r="E4" s="126"/>
      <c r="F4" s="126"/>
      <c r="G4" s="126"/>
      <c r="H4" s="126"/>
    </row>
    <row r="5" spans="1:14" s="76" customFormat="1" ht="25.5" customHeight="1" x14ac:dyDescent="0.25">
      <c r="A5" s="83" t="s">
        <v>1031</v>
      </c>
      <c r="B5" s="83" t="s">
        <v>1054</v>
      </c>
      <c r="C5" s="83" t="s">
        <v>1055</v>
      </c>
      <c r="D5" s="83" t="s">
        <v>1056</v>
      </c>
      <c r="E5" s="83" t="s">
        <v>1057</v>
      </c>
      <c r="F5" s="83" t="s">
        <v>1035</v>
      </c>
      <c r="G5" s="83" t="s">
        <v>1036</v>
      </c>
      <c r="H5" s="83" t="s">
        <v>1058</v>
      </c>
      <c r="I5" s="83" t="s">
        <v>1059</v>
      </c>
      <c r="J5" s="83" t="s">
        <v>1038</v>
      </c>
      <c r="K5" s="83" t="s">
        <v>1039</v>
      </c>
      <c r="L5" s="83" t="s">
        <v>1040</v>
      </c>
      <c r="M5" s="83" t="s">
        <v>1041</v>
      </c>
      <c r="N5" s="83" t="s">
        <v>235</v>
      </c>
    </row>
    <row r="6" spans="1:14" ht="24.75" customHeight="1" x14ac:dyDescent="0.25">
      <c r="A6" s="84" t="s">
        <v>882</v>
      </c>
      <c r="B6" s="85">
        <v>8</v>
      </c>
      <c r="C6" s="86" t="s">
        <v>854</v>
      </c>
      <c r="D6" s="87" t="s">
        <v>1102</v>
      </c>
      <c r="E6" s="87" t="s">
        <v>1103</v>
      </c>
      <c r="G6" s="87" t="s">
        <v>1042</v>
      </c>
      <c r="H6" s="88" t="s">
        <v>1104</v>
      </c>
      <c r="J6" s="87" t="s">
        <v>1105</v>
      </c>
      <c r="L6" s="87">
        <v>3108072460</v>
      </c>
    </row>
    <row r="7" spans="1:14" ht="24.75" customHeight="1" x14ac:dyDescent="0.25">
      <c r="A7" s="84" t="s">
        <v>1060</v>
      </c>
      <c r="B7" s="85">
        <v>10</v>
      </c>
      <c r="C7" s="86" t="s">
        <v>192</v>
      </c>
      <c r="D7" s="89" t="s">
        <v>1106</v>
      </c>
      <c r="E7" s="87" t="s">
        <v>1107</v>
      </c>
      <c r="F7" s="85"/>
      <c r="G7" s="90" t="s">
        <v>1042</v>
      </c>
      <c r="H7" s="87" t="s">
        <v>1108</v>
      </c>
      <c r="J7" s="87" t="s">
        <v>1109</v>
      </c>
      <c r="L7" s="87">
        <v>3102382585</v>
      </c>
      <c r="M7" s="91"/>
    </row>
    <row r="8" spans="1:14" ht="24.75" customHeight="1" x14ac:dyDescent="0.25">
      <c r="A8" s="84" t="s">
        <v>1061</v>
      </c>
      <c r="B8" s="85">
        <v>14</v>
      </c>
      <c r="C8" s="86" t="s">
        <v>12</v>
      </c>
      <c r="D8" s="87" t="s">
        <v>1110</v>
      </c>
      <c r="G8" s="87" t="s">
        <v>1042</v>
      </c>
      <c r="H8" s="88" t="s">
        <v>1111</v>
      </c>
      <c r="J8" s="87" t="s">
        <v>1105</v>
      </c>
      <c r="L8" s="87">
        <v>3108072460</v>
      </c>
    </row>
    <row r="9" spans="1:14" ht="24.75" customHeight="1" x14ac:dyDescent="0.25">
      <c r="A9" s="84" t="s">
        <v>1062</v>
      </c>
      <c r="B9" s="85">
        <v>17</v>
      </c>
      <c r="C9" s="86" t="s">
        <v>522</v>
      </c>
      <c r="D9" s="87" t="s">
        <v>1112</v>
      </c>
      <c r="E9" s="87" t="s">
        <v>1113</v>
      </c>
      <c r="G9" s="87" t="s">
        <v>1042</v>
      </c>
      <c r="H9" s="88" t="s">
        <v>1114</v>
      </c>
      <c r="J9" s="87" t="s">
        <v>1115</v>
      </c>
      <c r="L9" s="87">
        <v>3144552978</v>
      </c>
    </row>
    <row r="10" spans="1:14" ht="24.75" customHeight="1" x14ac:dyDescent="0.25">
      <c r="A10" s="84" t="s">
        <v>511</v>
      </c>
      <c r="B10" s="85">
        <v>15</v>
      </c>
      <c r="C10" s="86" t="s">
        <v>304</v>
      </c>
      <c r="D10" s="89" t="s">
        <v>513</v>
      </c>
      <c r="F10" s="85"/>
      <c r="H10" s="90"/>
      <c r="L10" s="85"/>
      <c r="M10" s="91"/>
    </row>
    <row r="11" spans="1:14" ht="24.75" customHeight="1" x14ac:dyDescent="0.25">
      <c r="A11" s="84" t="s">
        <v>1165</v>
      </c>
      <c r="B11" s="85">
        <v>3</v>
      </c>
      <c r="C11" s="86" t="s">
        <v>148</v>
      </c>
      <c r="D11" s="87" t="s">
        <v>1169</v>
      </c>
      <c r="E11" s="87" t="s">
        <v>1166</v>
      </c>
      <c r="F11" s="87">
        <v>3138850845</v>
      </c>
      <c r="G11" s="87" t="s">
        <v>1161</v>
      </c>
      <c r="H11" s="88" t="s">
        <v>1170</v>
      </c>
      <c r="I11" s="87" t="s">
        <v>1171</v>
      </c>
      <c r="J11" s="87" t="s">
        <v>1167</v>
      </c>
      <c r="K11" s="87" t="s">
        <v>1168</v>
      </c>
      <c r="L11" s="87">
        <v>3138850845</v>
      </c>
      <c r="M11" s="87" t="s">
        <v>1160</v>
      </c>
    </row>
    <row r="12" spans="1:14" ht="24.75" customHeight="1" x14ac:dyDescent="0.25">
      <c r="A12" s="84" t="s">
        <v>1273</v>
      </c>
      <c r="B12" s="85">
        <v>13</v>
      </c>
      <c r="C12" s="86" t="s">
        <v>11</v>
      </c>
      <c r="D12" s="87" t="s">
        <v>1273</v>
      </c>
      <c r="E12" s="87" t="s">
        <v>1278</v>
      </c>
      <c r="F12" s="87">
        <v>3044087962</v>
      </c>
      <c r="G12" s="87" t="s">
        <v>1042</v>
      </c>
      <c r="H12" s="88" t="s">
        <v>1278</v>
      </c>
      <c r="I12" s="87" t="s">
        <v>1280</v>
      </c>
      <c r="J12" s="87" t="s">
        <v>1279</v>
      </c>
      <c r="K12" s="87" t="s">
        <v>1281</v>
      </c>
      <c r="L12" s="87">
        <v>3044087962</v>
      </c>
    </row>
    <row r="13" spans="1:14" ht="24.75" customHeight="1" x14ac:dyDescent="0.25">
      <c r="B13" s="103">
        <v>45659</v>
      </c>
      <c r="C13" s="86"/>
      <c r="D13" s="87" t="s">
        <v>1907</v>
      </c>
      <c r="E13" s="87" t="s">
        <v>1908</v>
      </c>
      <c r="F13" s="87">
        <v>3147041252</v>
      </c>
      <c r="G13" s="87" t="s">
        <v>1909</v>
      </c>
      <c r="H13" s="88" t="s">
        <v>1910</v>
      </c>
      <c r="I13" s="87" t="s">
        <v>1903</v>
      </c>
      <c r="J13" s="87" t="s">
        <v>1904</v>
      </c>
      <c r="K13" s="87" t="s">
        <v>1911</v>
      </c>
      <c r="L13" s="87">
        <v>3147041252</v>
      </c>
    </row>
    <row r="14" spans="1:14" ht="24.75" customHeight="1" x14ac:dyDescent="0.25">
      <c r="C14" s="86"/>
    </row>
    <row r="15" spans="1:14" ht="24.75" customHeight="1" x14ac:dyDescent="0.25">
      <c r="C15" s="86"/>
    </row>
    <row r="16" spans="1:14" ht="24.75" customHeight="1" x14ac:dyDescent="0.25">
      <c r="C16" s="86"/>
    </row>
    <row r="17" spans="3:13" ht="24.75" customHeight="1" x14ac:dyDescent="0.25">
      <c r="C17" s="86"/>
    </row>
    <row r="18" spans="3:13" ht="24.75" customHeight="1" x14ac:dyDescent="0.25">
      <c r="C18" s="86"/>
      <c r="M18" s="92"/>
    </row>
    <row r="19" spans="3:13" ht="24.75" customHeight="1" x14ac:dyDescent="0.25">
      <c r="C19" s="86"/>
    </row>
    <row r="20" spans="3:13" ht="24.75" customHeight="1" x14ac:dyDescent="0.25">
      <c r="C20" s="86"/>
    </row>
  </sheetData>
  <sheetProtection algorithmName="SHA-512" hashValue="ASgXkSAabLZfMPaxWCuQMAymVYl8+a12OS+FquszT/YDwcY5Cz9PV9OwLYUq7UJrwvvluxt1tncZJExOFehYIQ==" saltValue="Mc8k+lojfydRE4iWTeu2Gg==" spinCount="100000" sheet="1" objects="1" scenarios="1"/>
  <autoFilter ref="A5:N19" xr:uid="{00000000-0009-0000-0000-000007000000}">
    <sortState ref="A6:N19">
      <sortCondition ref="B5:B19"/>
    </sortState>
  </autoFilter>
  <mergeCells count="3">
    <mergeCell ref="A1:A3"/>
    <mergeCell ref="B1:M3"/>
    <mergeCell ref="A4:H4"/>
  </mergeCells>
  <pageMargins left="0.23622047244094491" right="0.23622047244094491" top="0.74803149606299213" bottom="0.74803149606299213" header="0.31496062992125984" footer="0.31496062992125984"/>
  <pageSetup scale="27" firstPageNumber="0" orientation="landscape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/>
  <dimension ref="A1:L101"/>
  <sheetViews>
    <sheetView topLeftCell="A47" workbookViewId="0">
      <selection activeCell="A101" sqref="A101"/>
    </sheetView>
  </sheetViews>
  <sheetFormatPr baseColWidth="10" defaultRowHeight="15" x14ac:dyDescent="0.25"/>
  <cols>
    <col min="2" max="2" width="40.42578125" bestFit="1" customWidth="1"/>
    <col min="3" max="3" width="29.42578125" bestFit="1" customWidth="1"/>
    <col min="7" max="12" width="14.5703125" customWidth="1"/>
  </cols>
  <sheetData>
    <row r="1" spans="1:12" x14ac:dyDescent="0.25">
      <c r="A1" t="s">
        <v>951</v>
      </c>
      <c r="B1" t="s">
        <v>0</v>
      </c>
      <c r="C1" t="s">
        <v>952</v>
      </c>
      <c r="D1" t="s">
        <v>953</v>
      </c>
      <c r="E1" t="s">
        <v>256</v>
      </c>
      <c r="F1" t="s">
        <v>1024</v>
      </c>
      <c r="G1" t="s">
        <v>1025</v>
      </c>
      <c r="H1" t="s">
        <v>1</v>
      </c>
      <c r="I1" t="s">
        <v>1023</v>
      </c>
      <c r="J1" t="s">
        <v>954</v>
      </c>
      <c r="K1" t="s">
        <v>955</v>
      </c>
      <c r="L1" t="s">
        <v>248</v>
      </c>
    </row>
    <row r="2" spans="1:12" x14ac:dyDescent="0.25">
      <c r="A2">
        <v>15</v>
      </c>
      <c r="B2" t="s">
        <v>511</v>
      </c>
      <c r="C2" t="s">
        <v>513</v>
      </c>
      <c r="D2" s="32">
        <v>45027</v>
      </c>
      <c r="E2" t="s">
        <v>1006</v>
      </c>
      <c r="G2" s="64"/>
      <c r="H2" s="21" t="s">
        <v>304</v>
      </c>
      <c r="I2" s="64">
        <v>6193000</v>
      </c>
      <c r="J2" s="64">
        <v>1176670</v>
      </c>
      <c r="K2" s="64">
        <v>7369670</v>
      </c>
    </row>
    <row r="3" spans="1:12" x14ac:dyDescent="0.25">
      <c r="A3">
        <v>10</v>
      </c>
      <c r="B3" t="s">
        <v>424</v>
      </c>
      <c r="C3" t="s">
        <v>426</v>
      </c>
      <c r="D3" s="32">
        <v>45027</v>
      </c>
      <c r="E3" t="s">
        <v>1006</v>
      </c>
      <c r="F3" s="65"/>
      <c r="G3" s="64"/>
      <c r="H3" s="21" t="s">
        <v>146</v>
      </c>
      <c r="I3" s="64">
        <v>756000</v>
      </c>
      <c r="J3" s="64">
        <v>143640</v>
      </c>
      <c r="K3" s="64">
        <v>899640</v>
      </c>
    </row>
    <row r="4" spans="1:12" x14ac:dyDescent="0.25">
      <c r="A4">
        <v>10</v>
      </c>
      <c r="B4" t="s">
        <v>424</v>
      </c>
      <c r="C4" t="s">
        <v>426</v>
      </c>
      <c r="D4" s="32">
        <v>45055</v>
      </c>
      <c r="E4" t="s">
        <v>1022</v>
      </c>
      <c r="H4" s="21" t="s">
        <v>146</v>
      </c>
      <c r="I4" s="64">
        <v>777600</v>
      </c>
      <c r="J4" s="64">
        <v>147744</v>
      </c>
      <c r="K4" s="64">
        <v>925344</v>
      </c>
    </row>
    <row r="5" spans="1:12" x14ac:dyDescent="0.25">
      <c r="A5">
        <v>14</v>
      </c>
      <c r="B5" t="s">
        <v>508</v>
      </c>
      <c r="C5" t="s">
        <v>510</v>
      </c>
      <c r="D5" s="32">
        <v>45055</v>
      </c>
      <c r="E5" t="s">
        <v>1022</v>
      </c>
      <c r="H5" s="21" t="s">
        <v>12</v>
      </c>
      <c r="I5" s="64">
        <v>560600</v>
      </c>
      <c r="J5" s="64">
        <v>106514</v>
      </c>
      <c r="K5" s="64">
        <v>667114</v>
      </c>
    </row>
    <row r="6" spans="1:12" x14ac:dyDescent="0.25">
      <c r="A6">
        <v>17</v>
      </c>
      <c r="B6" t="s">
        <v>794</v>
      </c>
      <c r="C6" t="s">
        <v>796</v>
      </c>
      <c r="D6" s="32">
        <v>45055</v>
      </c>
      <c r="E6" t="s">
        <v>1022</v>
      </c>
      <c r="H6" s="21" t="s">
        <v>522</v>
      </c>
      <c r="I6" s="64">
        <v>452400</v>
      </c>
      <c r="J6" s="64">
        <v>71706</v>
      </c>
      <c r="K6" s="64">
        <v>524106</v>
      </c>
    </row>
    <row r="7" spans="1:12" x14ac:dyDescent="0.25">
      <c r="A7">
        <v>10</v>
      </c>
      <c r="B7" t="s">
        <v>1060</v>
      </c>
      <c r="C7" t="s">
        <v>1106</v>
      </c>
      <c r="D7" s="32">
        <v>45085</v>
      </c>
      <c r="E7" t="s">
        <v>1144</v>
      </c>
      <c r="H7" s="21" t="s">
        <v>192</v>
      </c>
      <c r="I7" s="64">
        <v>1103000</v>
      </c>
      <c r="J7" s="64">
        <v>204820</v>
      </c>
      <c r="K7" s="64">
        <v>1307820</v>
      </c>
    </row>
    <row r="8" spans="1:12" x14ac:dyDescent="0.25">
      <c r="A8">
        <v>17</v>
      </c>
      <c r="B8" t="s">
        <v>1062</v>
      </c>
      <c r="C8" t="s">
        <v>1112</v>
      </c>
      <c r="D8" s="32">
        <v>45085</v>
      </c>
      <c r="E8" t="s">
        <v>1144</v>
      </c>
      <c r="H8" s="21" t="s">
        <v>522</v>
      </c>
      <c r="I8" s="64">
        <v>2884950</v>
      </c>
      <c r="J8" s="64">
        <v>548140.5</v>
      </c>
      <c r="K8" s="64">
        <v>3433090.5</v>
      </c>
    </row>
    <row r="9" spans="1:12" x14ac:dyDescent="0.25">
      <c r="A9">
        <v>15</v>
      </c>
      <c r="B9" t="s">
        <v>511</v>
      </c>
      <c r="C9" t="s">
        <v>513</v>
      </c>
      <c r="D9" s="32">
        <v>45085</v>
      </c>
      <c r="E9" t="s">
        <v>1144</v>
      </c>
      <c r="H9" s="21" t="s">
        <v>304</v>
      </c>
      <c r="I9" s="64">
        <v>1745000</v>
      </c>
      <c r="J9" s="64">
        <v>331550</v>
      </c>
      <c r="K9" s="64">
        <v>2076550</v>
      </c>
    </row>
    <row r="10" spans="1:12" x14ac:dyDescent="0.25">
      <c r="A10">
        <v>3</v>
      </c>
      <c r="B10" t="s">
        <v>1165</v>
      </c>
      <c r="C10" t="s">
        <v>1169</v>
      </c>
      <c r="D10" s="32">
        <v>45119</v>
      </c>
      <c r="E10" t="s">
        <v>1172</v>
      </c>
      <c r="H10" s="21" t="s">
        <v>148</v>
      </c>
      <c r="I10" s="64">
        <v>190000</v>
      </c>
      <c r="J10" s="64">
        <v>36100</v>
      </c>
      <c r="K10" s="64">
        <v>226100</v>
      </c>
    </row>
    <row r="11" spans="1:12" x14ac:dyDescent="0.25">
      <c r="A11">
        <v>10</v>
      </c>
      <c r="B11" t="s">
        <v>1060</v>
      </c>
      <c r="C11" t="s">
        <v>1106</v>
      </c>
      <c r="D11" s="32">
        <v>45119</v>
      </c>
      <c r="E11" t="s">
        <v>1172</v>
      </c>
      <c r="H11" s="21" t="s">
        <v>192</v>
      </c>
      <c r="I11" s="64">
        <v>121000</v>
      </c>
      <c r="J11" s="64">
        <v>18240</v>
      </c>
      <c r="K11" s="64">
        <v>139240</v>
      </c>
    </row>
    <row r="12" spans="1:12" x14ac:dyDescent="0.25">
      <c r="A12">
        <v>3</v>
      </c>
      <c r="B12" t="s">
        <v>1165</v>
      </c>
      <c r="C12" t="s">
        <v>1169</v>
      </c>
      <c r="D12" s="32">
        <v>45119</v>
      </c>
      <c r="E12" t="s">
        <v>1172</v>
      </c>
      <c r="H12" s="21" t="s">
        <v>148</v>
      </c>
      <c r="I12" s="64">
        <v>298000</v>
      </c>
      <c r="J12" s="64">
        <v>56620</v>
      </c>
      <c r="K12" s="64">
        <v>354620</v>
      </c>
    </row>
    <row r="13" spans="1:12" x14ac:dyDescent="0.25">
      <c r="A13">
        <v>10</v>
      </c>
      <c r="B13" t="s">
        <v>1060</v>
      </c>
      <c r="C13" t="s">
        <v>1106</v>
      </c>
      <c r="D13" s="32">
        <v>45121</v>
      </c>
      <c r="E13" t="s">
        <v>1172</v>
      </c>
      <c r="H13" s="21" t="s">
        <v>192</v>
      </c>
      <c r="I13" s="64">
        <v>1039000</v>
      </c>
      <c r="J13" s="64">
        <v>192660</v>
      </c>
      <c r="K13" s="64">
        <v>1231660</v>
      </c>
    </row>
    <row r="14" spans="1:12" x14ac:dyDescent="0.25">
      <c r="A14">
        <v>3</v>
      </c>
      <c r="B14" t="s">
        <v>1165</v>
      </c>
      <c r="C14" t="s">
        <v>1169</v>
      </c>
      <c r="D14" s="32">
        <v>45141</v>
      </c>
      <c r="E14" t="s">
        <v>1254</v>
      </c>
      <c r="H14" s="21" t="s">
        <v>148</v>
      </c>
      <c r="I14" s="64">
        <v>91000</v>
      </c>
      <c r="J14" s="64">
        <v>17290</v>
      </c>
      <c r="K14" s="64">
        <v>108290</v>
      </c>
    </row>
    <row r="15" spans="1:12" x14ac:dyDescent="0.25">
      <c r="A15">
        <v>3</v>
      </c>
      <c r="B15" t="s">
        <v>1165</v>
      </c>
      <c r="C15" t="s">
        <v>1169</v>
      </c>
      <c r="D15" s="32">
        <v>45146</v>
      </c>
      <c r="E15" t="s">
        <v>1254</v>
      </c>
      <c r="H15" s="21" t="s">
        <v>148</v>
      </c>
      <c r="I15" s="64">
        <v>91000</v>
      </c>
      <c r="J15" s="64">
        <v>17290</v>
      </c>
      <c r="K15" s="64">
        <v>108290</v>
      </c>
    </row>
    <row r="16" spans="1:12" x14ac:dyDescent="0.25">
      <c r="A16">
        <v>10</v>
      </c>
      <c r="B16" t="s">
        <v>1060</v>
      </c>
      <c r="C16" t="s">
        <v>1106</v>
      </c>
      <c r="D16" s="32">
        <v>45146</v>
      </c>
      <c r="E16" t="s">
        <v>1254</v>
      </c>
      <c r="H16" s="21" t="s">
        <v>192</v>
      </c>
      <c r="I16" s="64">
        <v>870000</v>
      </c>
      <c r="J16" s="64">
        <v>155800</v>
      </c>
      <c r="K16" s="64">
        <v>1025800</v>
      </c>
    </row>
    <row r="17" spans="1:11" x14ac:dyDescent="0.25">
      <c r="A17">
        <v>14</v>
      </c>
      <c r="B17" t="s">
        <v>1061</v>
      </c>
      <c r="C17" t="s">
        <v>1110</v>
      </c>
      <c r="D17" s="32">
        <v>45146</v>
      </c>
      <c r="E17" t="s">
        <v>1254</v>
      </c>
      <c r="H17" s="21" t="s">
        <v>12</v>
      </c>
      <c r="I17" s="64">
        <v>5434000</v>
      </c>
      <c r="J17" s="64">
        <v>1032460</v>
      </c>
      <c r="K17" s="64">
        <v>6466460</v>
      </c>
    </row>
    <row r="18" spans="1:11" x14ac:dyDescent="0.25">
      <c r="A18">
        <v>17</v>
      </c>
      <c r="B18" t="s">
        <v>1062</v>
      </c>
      <c r="C18" t="s">
        <v>1112</v>
      </c>
      <c r="D18" s="32">
        <v>45146</v>
      </c>
      <c r="E18" t="s">
        <v>1254</v>
      </c>
      <c r="H18" s="21" t="s">
        <v>522</v>
      </c>
      <c r="I18" s="64">
        <v>4936200</v>
      </c>
      <c r="J18" s="64">
        <v>932178</v>
      </c>
      <c r="K18" s="64">
        <v>5868378</v>
      </c>
    </row>
    <row r="19" spans="1:11" x14ac:dyDescent="0.25">
      <c r="A19">
        <v>10</v>
      </c>
      <c r="B19" t="s">
        <v>1060</v>
      </c>
      <c r="C19" t="s">
        <v>1106</v>
      </c>
      <c r="D19" s="32">
        <v>45146</v>
      </c>
      <c r="E19" t="s">
        <v>1254</v>
      </c>
      <c r="H19" s="21" t="s">
        <v>192</v>
      </c>
      <c r="I19" s="64">
        <v>1086000</v>
      </c>
      <c r="J19" s="64">
        <v>196840</v>
      </c>
      <c r="K19" s="64">
        <v>1282840</v>
      </c>
    </row>
    <row r="20" spans="1:11" x14ac:dyDescent="0.25">
      <c r="A20">
        <v>13</v>
      </c>
      <c r="B20" t="s">
        <v>1273</v>
      </c>
      <c r="C20" t="s">
        <v>1273</v>
      </c>
      <c r="D20" s="32">
        <v>45177</v>
      </c>
      <c r="E20" t="s">
        <v>1318</v>
      </c>
      <c r="H20" s="21" t="s">
        <v>11</v>
      </c>
      <c r="I20" s="64">
        <v>1933700</v>
      </c>
      <c r="J20" s="64">
        <v>230603</v>
      </c>
      <c r="K20" s="64">
        <v>2164303</v>
      </c>
    </row>
    <row r="21" spans="1:11" x14ac:dyDescent="0.25">
      <c r="A21">
        <v>13</v>
      </c>
      <c r="B21" t="s">
        <v>1273</v>
      </c>
      <c r="C21" t="s">
        <v>1273</v>
      </c>
      <c r="D21" s="32">
        <v>45180</v>
      </c>
      <c r="E21" t="s">
        <v>1318</v>
      </c>
      <c r="H21" s="21" t="s">
        <v>11</v>
      </c>
      <c r="I21" s="64">
        <v>1669700</v>
      </c>
      <c r="J21" s="64">
        <v>180443</v>
      </c>
      <c r="K21" s="64">
        <v>1850143</v>
      </c>
    </row>
    <row r="22" spans="1:11" x14ac:dyDescent="0.25">
      <c r="A22">
        <v>10</v>
      </c>
      <c r="B22" t="s">
        <v>1060</v>
      </c>
      <c r="C22" t="s">
        <v>1106</v>
      </c>
      <c r="D22" s="32">
        <v>45180</v>
      </c>
      <c r="E22" t="s">
        <v>1318</v>
      </c>
      <c r="H22" s="21" t="s">
        <v>192</v>
      </c>
      <c r="I22" s="64">
        <v>975000</v>
      </c>
      <c r="J22" s="64">
        <v>180500</v>
      </c>
      <c r="K22" s="64">
        <v>1155500</v>
      </c>
    </row>
    <row r="23" spans="1:11" x14ac:dyDescent="0.25">
      <c r="A23">
        <v>3</v>
      </c>
      <c r="B23" t="s">
        <v>1165</v>
      </c>
      <c r="C23" t="s">
        <v>1169</v>
      </c>
      <c r="D23" s="32">
        <v>45183</v>
      </c>
      <c r="E23" t="s">
        <v>1318</v>
      </c>
      <c r="H23" s="21" t="s">
        <v>148</v>
      </c>
      <c r="I23" s="64">
        <v>162500</v>
      </c>
      <c r="J23" s="64">
        <v>30875</v>
      </c>
      <c r="K23" s="64">
        <v>193375</v>
      </c>
    </row>
    <row r="24" spans="1:11" x14ac:dyDescent="0.25">
      <c r="A24">
        <v>10</v>
      </c>
      <c r="B24" t="s">
        <v>1060</v>
      </c>
      <c r="C24" t="s">
        <v>1106</v>
      </c>
      <c r="D24" s="32">
        <v>45183</v>
      </c>
      <c r="E24" t="s">
        <v>1318</v>
      </c>
      <c r="H24" s="21" t="s">
        <v>192</v>
      </c>
      <c r="I24" s="64">
        <v>975000</v>
      </c>
      <c r="J24" s="64">
        <v>180500</v>
      </c>
      <c r="K24" s="64">
        <v>1155500</v>
      </c>
    </row>
    <row r="25" spans="1:11" x14ac:dyDescent="0.25">
      <c r="A25">
        <v>13</v>
      </c>
      <c r="B25" t="s">
        <v>1273</v>
      </c>
      <c r="C25" t="s">
        <v>1273</v>
      </c>
      <c r="D25" s="32">
        <v>45201</v>
      </c>
      <c r="E25" t="s">
        <v>1352</v>
      </c>
      <c r="H25" s="21" t="s">
        <v>11</v>
      </c>
      <c r="I25" s="64">
        <v>1042000</v>
      </c>
      <c r="J25" s="64">
        <v>167580</v>
      </c>
      <c r="K25" s="64">
        <v>1209580</v>
      </c>
    </row>
    <row r="26" spans="1:11" x14ac:dyDescent="0.25">
      <c r="A26">
        <v>13</v>
      </c>
      <c r="B26" t="s">
        <v>1273</v>
      </c>
      <c r="C26" t="s">
        <v>1273</v>
      </c>
      <c r="D26" s="32">
        <v>45201</v>
      </c>
      <c r="E26" t="s">
        <v>1352</v>
      </c>
      <c r="H26" s="21" t="s">
        <v>11</v>
      </c>
      <c r="I26" s="64">
        <v>1155100</v>
      </c>
      <c r="J26" s="64">
        <v>189069</v>
      </c>
      <c r="K26" s="64">
        <v>1344169</v>
      </c>
    </row>
    <row r="27" spans="1:11" x14ac:dyDescent="0.25">
      <c r="A27">
        <v>10</v>
      </c>
      <c r="B27" t="s">
        <v>1060</v>
      </c>
      <c r="C27" t="s">
        <v>1106</v>
      </c>
      <c r="D27" s="32">
        <v>45204</v>
      </c>
      <c r="E27" t="s">
        <v>1352</v>
      </c>
      <c r="H27" s="21" t="s">
        <v>192</v>
      </c>
      <c r="I27" s="64">
        <v>89000</v>
      </c>
      <c r="J27" s="64">
        <v>12160</v>
      </c>
      <c r="K27" s="64">
        <v>101160</v>
      </c>
    </row>
    <row r="28" spans="1:11" x14ac:dyDescent="0.25">
      <c r="A28">
        <v>13</v>
      </c>
      <c r="B28" t="s">
        <v>1273</v>
      </c>
      <c r="C28" t="s">
        <v>1273</v>
      </c>
      <c r="D28" s="32">
        <v>45239</v>
      </c>
      <c r="E28" t="s">
        <v>1395</v>
      </c>
      <c r="H28" s="21" t="s">
        <v>11</v>
      </c>
      <c r="I28" s="64">
        <v>2635000</v>
      </c>
      <c r="J28" s="64">
        <v>500650</v>
      </c>
      <c r="K28" s="64">
        <v>3135650</v>
      </c>
    </row>
    <row r="29" spans="1:11" x14ac:dyDescent="0.25">
      <c r="A29">
        <v>13</v>
      </c>
      <c r="B29" t="s">
        <v>1273</v>
      </c>
      <c r="C29" t="s">
        <v>1273</v>
      </c>
      <c r="D29" s="32">
        <v>45264</v>
      </c>
      <c r="E29" t="s">
        <v>1434</v>
      </c>
      <c r="H29" s="21" t="s">
        <v>11</v>
      </c>
      <c r="I29" s="64">
        <v>3947400</v>
      </c>
      <c r="J29" s="64">
        <v>750006</v>
      </c>
      <c r="K29" s="64">
        <v>4697406</v>
      </c>
    </row>
    <row r="30" spans="1:11" x14ac:dyDescent="0.25">
      <c r="A30">
        <v>13</v>
      </c>
      <c r="B30" t="s">
        <v>1273</v>
      </c>
      <c r="C30" t="s">
        <v>1273</v>
      </c>
      <c r="D30" s="32">
        <v>45267</v>
      </c>
      <c r="E30" t="s">
        <v>1434</v>
      </c>
      <c r="H30" s="21" t="s">
        <v>11</v>
      </c>
      <c r="I30" s="64">
        <v>3800400</v>
      </c>
      <c r="J30" s="64">
        <v>722076</v>
      </c>
      <c r="K30" s="64">
        <v>4522476</v>
      </c>
    </row>
    <row r="31" spans="1:11" x14ac:dyDescent="0.25">
      <c r="A31">
        <v>13</v>
      </c>
      <c r="B31" t="s">
        <v>1273</v>
      </c>
      <c r="C31" t="s">
        <v>1273</v>
      </c>
      <c r="D31" s="32">
        <v>45267</v>
      </c>
      <c r="E31" t="s">
        <v>1434</v>
      </c>
      <c r="H31" s="21" t="s">
        <v>11</v>
      </c>
      <c r="I31" s="64">
        <v>3460400</v>
      </c>
      <c r="J31" s="64">
        <v>657476</v>
      </c>
      <c r="K31" s="64">
        <v>4117876</v>
      </c>
    </row>
    <row r="32" spans="1:11" x14ac:dyDescent="0.25">
      <c r="A32">
        <v>13</v>
      </c>
      <c r="B32" t="s">
        <v>1273</v>
      </c>
      <c r="C32" t="s">
        <v>1273</v>
      </c>
      <c r="D32" s="32">
        <v>45275</v>
      </c>
      <c r="E32" t="s">
        <v>1437</v>
      </c>
      <c r="H32" s="21" t="s">
        <v>11</v>
      </c>
      <c r="I32" s="64">
        <v>480000</v>
      </c>
      <c r="J32" s="64">
        <v>91200</v>
      </c>
      <c r="K32" s="64">
        <v>571200</v>
      </c>
    </row>
    <row r="33" spans="1:12" x14ac:dyDescent="0.25">
      <c r="A33">
        <v>13</v>
      </c>
      <c r="B33" t="s">
        <v>1273</v>
      </c>
      <c r="C33" t="s">
        <v>1273</v>
      </c>
      <c r="D33" s="32">
        <v>45278</v>
      </c>
      <c r="E33" t="s">
        <v>1437</v>
      </c>
      <c r="H33" s="21" t="s">
        <v>11</v>
      </c>
      <c r="I33" s="64">
        <v>120000</v>
      </c>
      <c r="J33" s="64">
        <v>22800</v>
      </c>
      <c r="K33" s="64">
        <v>142800</v>
      </c>
    </row>
    <row r="34" spans="1:12" x14ac:dyDescent="0.25">
      <c r="A34">
        <v>14</v>
      </c>
      <c r="B34" t="s">
        <v>1061</v>
      </c>
      <c r="C34" t="s">
        <v>1110</v>
      </c>
      <c r="D34" s="32">
        <v>45291</v>
      </c>
      <c r="E34" t="s">
        <v>1437</v>
      </c>
      <c r="H34" s="21" t="s">
        <v>12</v>
      </c>
      <c r="I34" s="64">
        <v>2900000</v>
      </c>
      <c r="J34" s="64">
        <v>551000</v>
      </c>
      <c r="K34" s="64">
        <v>3451000</v>
      </c>
    </row>
    <row r="35" spans="1:12" x14ac:dyDescent="0.25">
      <c r="A35">
        <v>10</v>
      </c>
      <c r="B35" t="s">
        <v>1060</v>
      </c>
      <c r="C35" t="s">
        <v>1106</v>
      </c>
      <c r="D35" s="32">
        <v>45291</v>
      </c>
      <c r="E35" t="s">
        <v>1437</v>
      </c>
      <c r="H35" s="21" t="s">
        <v>192</v>
      </c>
      <c r="I35" s="64">
        <v>502200</v>
      </c>
      <c r="J35" s="64">
        <v>95418</v>
      </c>
      <c r="K35" s="64">
        <v>597618</v>
      </c>
    </row>
    <row r="36" spans="1:12" x14ac:dyDescent="0.25">
      <c r="A36">
        <v>17</v>
      </c>
      <c r="B36" t="s">
        <v>1062</v>
      </c>
      <c r="C36" t="s">
        <v>1112</v>
      </c>
      <c r="E36" t="s">
        <v>1493</v>
      </c>
      <c r="H36" s="21" t="s">
        <v>522</v>
      </c>
      <c r="I36" s="64">
        <v>1959000</v>
      </c>
      <c r="J36" s="64">
        <v>369360</v>
      </c>
      <c r="K36" s="64">
        <v>2328360</v>
      </c>
    </row>
    <row r="37" spans="1:12" x14ac:dyDescent="0.25">
      <c r="A37">
        <v>17</v>
      </c>
      <c r="B37" t="s">
        <v>1062</v>
      </c>
      <c r="C37" t="s">
        <v>1112</v>
      </c>
      <c r="E37" t="s">
        <v>1493</v>
      </c>
      <c r="H37" s="21" t="s">
        <v>522</v>
      </c>
      <c r="I37" s="64">
        <v>1964000</v>
      </c>
      <c r="J37" s="64">
        <v>369360</v>
      </c>
      <c r="K37" s="64">
        <v>2333360</v>
      </c>
    </row>
    <row r="38" spans="1:12" x14ac:dyDescent="0.25">
      <c r="A38">
        <v>3</v>
      </c>
      <c r="B38" t="s">
        <v>1165</v>
      </c>
      <c r="C38" t="s">
        <v>1169</v>
      </c>
      <c r="E38" t="s">
        <v>1493</v>
      </c>
      <c r="H38" s="21" t="s">
        <v>148</v>
      </c>
      <c r="I38" s="64">
        <v>52000</v>
      </c>
      <c r="J38" s="64">
        <v>9880</v>
      </c>
      <c r="K38" s="64">
        <v>61880</v>
      </c>
    </row>
    <row r="39" spans="1:12" x14ac:dyDescent="0.25">
      <c r="A39">
        <v>3</v>
      </c>
      <c r="B39" t="s">
        <v>1165</v>
      </c>
      <c r="C39" t="s">
        <v>1169</v>
      </c>
      <c r="D39" s="32">
        <v>45359</v>
      </c>
      <c r="E39" t="s">
        <v>1509</v>
      </c>
      <c r="H39" s="21" t="s">
        <v>148</v>
      </c>
      <c r="I39" s="64">
        <v>117000</v>
      </c>
      <c r="J39" s="64">
        <v>22230</v>
      </c>
      <c r="K39" s="64">
        <v>139230</v>
      </c>
    </row>
    <row r="40" spans="1:12" x14ac:dyDescent="0.25">
      <c r="A40">
        <v>3</v>
      </c>
      <c r="B40" t="s">
        <v>1165</v>
      </c>
      <c r="C40" t="s">
        <v>1169</v>
      </c>
      <c r="D40" s="32">
        <v>45385</v>
      </c>
      <c r="E40" t="s">
        <v>1525</v>
      </c>
      <c r="H40" s="21" t="s">
        <v>148</v>
      </c>
      <c r="I40" s="64">
        <v>65000</v>
      </c>
      <c r="J40" s="64">
        <v>12350</v>
      </c>
      <c r="K40" s="64">
        <v>77350</v>
      </c>
    </row>
    <row r="41" spans="1:12" x14ac:dyDescent="0.25">
      <c r="A41">
        <v>17</v>
      </c>
      <c r="B41" t="s">
        <v>1062</v>
      </c>
      <c r="C41" t="s">
        <v>1112</v>
      </c>
      <c r="D41" s="32">
        <v>45385</v>
      </c>
      <c r="E41" t="s">
        <v>1525</v>
      </c>
      <c r="H41" s="21" t="s">
        <v>522</v>
      </c>
      <c r="I41" s="64">
        <v>339700</v>
      </c>
      <c r="J41" s="64">
        <v>56943</v>
      </c>
      <c r="K41" s="64">
        <v>396643</v>
      </c>
    </row>
    <row r="42" spans="1:12" x14ac:dyDescent="0.25">
      <c r="A42">
        <v>15</v>
      </c>
      <c r="B42" t="s">
        <v>511</v>
      </c>
      <c r="C42" t="s">
        <v>513</v>
      </c>
      <c r="D42" s="32">
        <v>45387</v>
      </c>
      <c r="E42" t="s">
        <v>1531</v>
      </c>
      <c r="H42" s="21" t="s">
        <v>304</v>
      </c>
      <c r="I42" s="64">
        <v>325000</v>
      </c>
      <c r="J42" s="64">
        <v>61750</v>
      </c>
      <c r="K42" s="64">
        <v>386750</v>
      </c>
    </row>
    <row r="43" spans="1:12" x14ac:dyDescent="0.25">
      <c r="A43">
        <v>3</v>
      </c>
      <c r="B43" t="s">
        <v>1165</v>
      </c>
      <c r="C43" t="s">
        <v>1169</v>
      </c>
      <c r="D43" s="32">
        <v>45415</v>
      </c>
      <c r="E43" t="s">
        <v>1531</v>
      </c>
      <c r="H43" s="21" t="s">
        <v>148</v>
      </c>
      <c r="I43" s="64">
        <v>78000</v>
      </c>
      <c r="J43" s="64">
        <v>14820</v>
      </c>
      <c r="K43" s="64">
        <v>92820</v>
      </c>
    </row>
    <row r="44" spans="1:12" x14ac:dyDescent="0.25">
      <c r="A44">
        <v>15</v>
      </c>
      <c r="B44" t="s">
        <v>511</v>
      </c>
      <c r="C44" t="s">
        <v>513</v>
      </c>
      <c r="D44" s="32">
        <v>45415</v>
      </c>
      <c r="E44" t="s">
        <v>1531</v>
      </c>
      <c r="H44" s="21" t="s">
        <v>304</v>
      </c>
      <c r="I44" s="64">
        <v>325000</v>
      </c>
      <c r="J44" s="64">
        <v>61750</v>
      </c>
      <c r="K44" s="64">
        <v>386750</v>
      </c>
    </row>
    <row r="45" spans="1:12" x14ac:dyDescent="0.25">
      <c r="A45">
        <v>17</v>
      </c>
      <c r="B45" t="s">
        <v>1062</v>
      </c>
      <c r="C45" t="s">
        <v>1112</v>
      </c>
      <c r="D45" s="32">
        <v>45415</v>
      </c>
      <c r="E45" t="s">
        <v>1531</v>
      </c>
      <c r="H45" s="21" t="s">
        <v>522</v>
      </c>
      <c r="I45" s="64">
        <v>568400</v>
      </c>
      <c r="J45" s="64">
        <v>92796</v>
      </c>
      <c r="K45" s="64">
        <v>661196</v>
      </c>
    </row>
    <row r="46" spans="1:12" x14ac:dyDescent="0.25">
      <c r="A46">
        <v>3</v>
      </c>
      <c r="B46" t="s">
        <v>1165</v>
      </c>
      <c r="C46" t="s">
        <v>1169</v>
      </c>
      <c r="D46" s="32">
        <v>45448</v>
      </c>
      <c r="H46" s="21" t="s">
        <v>148</v>
      </c>
      <c r="I46" s="64">
        <v>3594000</v>
      </c>
      <c r="J46" s="64">
        <v>682860</v>
      </c>
      <c r="K46" s="64">
        <v>4276860</v>
      </c>
      <c r="L46" t="s">
        <v>1042</v>
      </c>
    </row>
    <row r="47" spans="1:12" x14ac:dyDescent="0.25">
      <c r="A47">
        <v>17</v>
      </c>
      <c r="B47" t="s">
        <v>1062</v>
      </c>
      <c r="C47" t="s">
        <v>1112</v>
      </c>
      <c r="D47" s="32">
        <v>45448</v>
      </c>
      <c r="H47" s="21" t="s">
        <v>522</v>
      </c>
      <c r="I47" s="64">
        <v>504000</v>
      </c>
      <c r="J47" s="64">
        <v>84360</v>
      </c>
      <c r="K47" s="64">
        <v>588360</v>
      </c>
      <c r="L47" t="s">
        <v>1042</v>
      </c>
    </row>
    <row r="48" spans="1:12" x14ac:dyDescent="0.25">
      <c r="A48">
        <v>3</v>
      </c>
      <c r="B48" t="s">
        <v>1165</v>
      </c>
      <c r="C48" t="s">
        <v>1169</v>
      </c>
      <c r="D48" s="32">
        <v>45453</v>
      </c>
      <c r="H48" s="21" t="s">
        <v>148</v>
      </c>
      <c r="I48" s="64">
        <v>71500</v>
      </c>
      <c r="J48" s="64">
        <v>13585</v>
      </c>
      <c r="K48" s="64">
        <v>85085</v>
      </c>
      <c r="L48" t="s">
        <v>1042</v>
      </c>
    </row>
    <row r="49" spans="1:12" x14ac:dyDescent="0.25">
      <c r="A49">
        <v>17</v>
      </c>
      <c r="B49" t="s">
        <v>1062</v>
      </c>
      <c r="C49" t="s">
        <v>1112</v>
      </c>
      <c r="D49" s="32">
        <v>45453</v>
      </c>
      <c r="H49" s="21" t="s">
        <v>522</v>
      </c>
      <c r="I49" s="64">
        <v>454050</v>
      </c>
      <c r="J49" s="64">
        <v>74869.5</v>
      </c>
      <c r="K49" s="64">
        <v>528919.5</v>
      </c>
      <c r="L49" t="s">
        <v>1042</v>
      </c>
    </row>
    <row r="50" spans="1:12" x14ac:dyDescent="0.25">
      <c r="A50">
        <v>3</v>
      </c>
      <c r="B50" t="s">
        <v>1165</v>
      </c>
      <c r="C50" t="s">
        <v>1169</v>
      </c>
      <c r="D50" s="32">
        <v>45504</v>
      </c>
      <c r="F50" s="32">
        <v>45504</v>
      </c>
      <c r="G50" s="32">
        <v>45504</v>
      </c>
      <c r="H50" s="21" t="s">
        <v>148</v>
      </c>
      <c r="I50" s="64">
        <v>690000</v>
      </c>
      <c r="J50" s="64">
        <v>131100</v>
      </c>
      <c r="K50" s="64">
        <v>821100</v>
      </c>
      <c r="L50" t="s">
        <v>1042</v>
      </c>
    </row>
    <row r="51" spans="1:12" x14ac:dyDescent="0.25">
      <c r="A51">
        <v>8</v>
      </c>
      <c r="B51" t="s">
        <v>882</v>
      </c>
      <c r="C51" t="s">
        <v>1102</v>
      </c>
      <c r="D51" s="32">
        <v>45504</v>
      </c>
      <c r="F51" s="32">
        <v>45504</v>
      </c>
      <c r="G51" s="32">
        <v>45504</v>
      </c>
      <c r="H51" s="21" t="s">
        <v>854</v>
      </c>
      <c r="I51" s="64">
        <v>212000</v>
      </c>
      <c r="J51" s="64">
        <v>30780</v>
      </c>
      <c r="K51" s="64">
        <v>242780</v>
      </c>
      <c r="L51" t="s">
        <v>1042</v>
      </c>
    </row>
    <row r="52" spans="1:12" x14ac:dyDescent="0.25">
      <c r="A52">
        <v>17</v>
      </c>
      <c r="B52" t="s">
        <v>1062</v>
      </c>
      <c r="C52" t="s">
        <v>1112</v>
      </c>
      <c r="D52" s="32">
        <v>45504</v>
      </c>
      <c r="F52" s="32">
        <v>45504</v>
      </c>
      <c r="G52" s="32">
        <v>45504</v>
      </c>
      <c r="H52" s="21" t="s">
        <v>522</v>
      </c>
      <c r="I52" s="64">
        <v>812500</v>
      </c>
      <c r="J52" s="64">
        <v>135375</v>
      </c>
      <c r="K52" s="64">
        <v>947875</v>
      </c>
      <c r="L52" t="s">
        <v>1042</v>
      </c>
    </row>
    <row r="53" spans="1:12" x14ac:dyDescent="0.25">
      <c r="A53">
        <v>3</v>
      </c>
      <c r="B53" t="s">
        <v>1165</v>
      </c>
      <c r="C53" t="s">
        <v>1169</v>
      </c>
      <c r="D53" s="32">
        <v>45537</v>
      </c>
      <c r="H53" s="21" t="s">
        <v>148</v>
      </c>
      <c r="I53" s="64">
        <v>71500</v>
      </c>
      <c r="J53" s="64">
        <v>13585</v>
      </c>
      <c r="K53" s="64">
        <v>85085</v>
      </c>
      <c r="L53" t="s">
        <v>1042</v>
      </c>
    </row>
    <row r="54" spans="1:12" x14ac:dyDescent="0.25">
      <c r="A54">
        <v>8</v>
      </c>
      <c r="B54" t="s">
        <v>882</v>
      </c>
      <c r="C54" t="s">
        <v>1102</v>
      </c>
      <c r="D54" s="32">
        <v>45537</v>
      </c>
      <c r="H54" s="21" t="s">
        <v>854</v>
      </c>
      <c r="I54" s="64">
        <v>432000</v>
      </c>
      <c r="J54" s="64">
        <v>82080</v>
      </c>
      <c r="K54" s="64">
        <v>514080</v>
      </c>
      <c r="L54" t="s">
        <v>1042</v>
      </c>
    </row>
    <row r="55" spans="1:12" x14ac:dyDescent="0.25">
      <c r="A55">
        <v>8</v>
      </c>
      <c r="B55" t="s">
        <v>882</v>
      </c>
      <c r="C55" t="s">
        <v>1102</v>
      </c>
      <c r="D55" s="32">
        <v>45537</v>
      </c>
      <c r="H55" s="21" t="s">
        <v>854</v>
      </c>
      <c r="I55" s="64">
        <v>457000</v>
      </c>
      <c r="J55" s="64">
        <v>82080</v>
      </c>
      <c r="K55" s="64">
        <v>539080</v>
      </c>
      <c r="L55" t="s">
        <v>1042</v>
      </c>
    </row>
    <row r="56" spans="1:12" x14ac:dyDescent="0.25">
      <c r="A56">
        <v>17</v>
      </c>
      <c r="B56" t="s">
        <v>1062</v>
      </c>
      <c r="C56" t="s">
        <v>1112</v>
      </c>
      <c r="D56" s="32">
        <v>45537</v>
      </c>
      <c r="H56" s="21" t="s">
        <v>522</v>
      </c>
      <c r="I56" s="64">
        <v>411850</v>
      </c>
      <c r="J56" s="64">
        <v>70651.5</v>
      </c>
      <c r="K56" s="64">
        <v>482501.5</v>
      </c>
      <c r="L56" t="s">
        <v>1042</v>
      </c>
    </row>
    <row r="57" spans="1:12" x14ac:dyDescent="0.25">
      <c r="A57">
        <v>8</v>
      </c>
      <c r="B57" t="s">
        <v>882</v>
      </c>
      <c r="C57" t="s">
        <v>1102</v>
      </c>
      <c r="D57" s="32">
        <v>45568</v>
      </c>
      <c r="H57" s="21" t="s">
        <v>854</v>
      </c>
      <c r="I57" s="64">
        <v>871500</v>
      </c>
      <c r="J57" s="64">
        <v>156085</v>
      </c>
      <c r="K57" s="64">
        <v>1027585</v>
      </c>
      <c r="L57" t="s">
        <v>1042</v>
      </c>
    </row>
    <row r="58" spans="1:12" x14ac:dyDescent="0.25">
      <c r="A58">
        <v>3</v>
      </c>
      <c r="B58" t="s">
        <v>1165</v>
      </c>
      <c r="C58" t="s">
        <v>1169</v>
      </c>
      <c r="D58" s="32">
        <v>45568</v>
      </c>
      <c r="H58" s="21" t="s">
        <v>148</v>
      </c>
      <c r="I58" s="64">
        <v>65000</v>
      </c>
      <c r="J58" s="64">
        <v>12350</v>
      </c>
      <c r="K58" s="64">
        <v>77350</v>
      </c>
      <c r="L58" t="s">
        <v>1042</v>
      </c>
    </row>
    <row r="59" spans="1:12" x14ac:dyDescent="0.25">
      <c r="A59">
        <v>17</v>
      </c>
      <c r="B59" t="s">
        <v>1062</v>
      </c>
      <c r="C59" t="s">
        <v>1112</v>
      </c>
      <c r="D59" s="32">
        <v>45573</v>
      </c>
      <c r="H59" s="21" t="s">
        <v>522</v>
      </c>
      <c r="I59" s="64">
        <v>16650</v>
      </c>
      <c r="J59" s="64">
        <v>3163.5</v>
      </c>
      <c r="K59" s="64">
        <v>19813.5</v>
      </c>
      <c r="L59" t="s">
        <v>1042</v>
      </c>
    </row>
    <row r="60" spans="1:12" x14ac:dyDescent="0.25">
      <c r="A60">
        <v>3</v>
      </c>
      <c r="B60" t="s">
        <v>1165</v>
      </c>
      <c r="C60" t="s">
        <v>1169</v>
      </c>
      <c r="D60" s="32">
        <v>45609</v>
      </c>
      <c r="H60" s="21" t="s">
        <v>148</v>
      </c>
      <c r="I60" s="64">
        <v>110500</v>
      </c>
      <c r="J60" s="64">
        <v>20995</v>
      </c>
      <c r="K60" s="64">
        <v>131495</v>
      </c>
      <c r="L60" t="s">
        <v>1042</v>
      </c>
    </row>
    <row r="61" spans="1:12" x14ac:dyDescent="0.25">
      <c r="A61">
        <v>17</v>
      </c>
      <c r="B61" t="s">
        <v>1062</v>
      </c>
      <c r="C61" t="s">
        <v>1112</v>
      </c>
      <c r="D61" s="32">
        <v>45609</v>
      </c>
      <c r="H61" s="21" t="s">
        <v>522</v>
      </c>
      <c r="I61" s="64">
        <v>1556650</v>
      </c>
      <c r="J61" s="64">
        <v>280563.5</v>
      </c>
      <c r="K61" s="64">
        <v>1837213.5</v>
      </c>
      <c r="L61" t="s">
        <v>1042</v>
      </c>
    </row>
    <row r="62" spans="1:12" x14ac:dyDescent="0.25">
      <c r="A62">
        <v>8</v>
      </c>
      <c r="B62" t="s">
        <v>882</v>
      </c>
      <c r="C62" t="s">
        <v>1102</v>
      </c>
      <c r="D62" s="32">
        <v>45609</v>
      </c>
      <c r="H62" s="21" t="s">
        <v>854</v>
      </c>
      <c r="I62" s="64">
        <v>763500</v>
      </c>
      <c r="J62" s="64">
        <v>145065</v>
      </c>
      <c r="K62" s="64">
        <v>908565</v>
      </c>
      <c r="L62" t="s">
        <v>1042</v>
      </c>
    </row>
    <row r="63" spans="1:12" x14ac:dyDescent="0.25">
      <c r="A63">
        <v>8</v>
      </c>
      <c r="B63" t="s">
        <v>882</v>
      </c>
      <c r="C63" t="s">
        <v>1102</v>
      </c>
      <c r="D63" s="32">
        <v>45609</v>
      </c>
      <c r="H63" s="21" t="s">
        <v>854</v>
      </c>
      <c r="I63" s="64">
        <v>818500</v>
      </c>
      <c r="J63" s="64">
        <v>155515</v>
      </c>
      <c r="K63" s="64">
        <v>974015</v>
      </c>
      <c r="L63" t="s">
        <v>1042</v>
      </c>
    </row>
    <row r="64" spans="1:12" x14ac:dyDescent="0.25">
      <c r="A64">
        <v>8</v>
      </c>
      <c r="B64" t="s">
        <v>882</v>
      </c>
      <c r="C64" t="s">
        <v>1102</v>
      </c>
      <c r="D64" s="32">
        <v>45628</v>
      </c>
      <c r="H64" s="21" t="s">
        <v>854</v>
      </c>
      <c r="I64" s="64">
        <v>594000</v>
      </c>
      <c r="J64" s="64">
        <v>112860</v>
      </c>
      <c r="K64" s="64">
        <v>706860</v>
      </c>
      <c r="L64" t="s">
        <v>1042</v>
      </c>
    </row>
    <row r="65" spans="1:12" x14ac:dyDescent="0.25">
      <c r="A65">
        <v>17</v>
      </c>
      <c r="B65" t="s">
        <v>1062</v>
      </c>
      <c r="C65" t="s">
        <v>1112</v>
      </c>
      <c r="D65" s="32">
        <v>45628</v>
      </c>
      <c r="H65" s="21" t="s">
        <v>522</v>
      </c>
      <c r="I65" s="64">
        <v>335300</v>
      </c>
      <c r="J65" s="64">
        <v>48507</v>
      </c>
      <c r="K65" s="64">
        <v>383807</v>
      </c>
      <c r="L65" t="s">
        <v>1042</v>
      </c>
    </row>
    <row r="66" spans="1:12" x14ac:dyDescent="0.25">
      <c r="A66">
        <v>3</v>
      </c>
      <c r="B66" t="s">
        <v>1165</v>
      </c>
      <c r="C66" t="s">
        <v>1169</v>
      </c>
      <c r="D66" s="32">
        <v>45628</v>
      </c>
      <c r="H66" s="21" t="s">
        <v>148</v>
      </c>
      <c r="I66" s="64">
        <v>2334400</v>
      </c>
      <c r="J66" s="64">
        <v>443536</v>
      </c>
      <c r="K66" s="64">
        <v>2777936</v>
      </c>
      <c r="L66" t="s">
        <v>1042</v>
      </c>
    </row>
    <row r="67" spans="1:12" x14ac:dyDescent="0.25">
      <c r="A67">
        <v>8</v>
      </c>
      <c r="B67" t="s">
        <v>882</v>
      </c>
      <c r="C67" t="s">
        <v>1102</v>
      </c>
      <c r="D67" s="32">
        <v>45665</v>
      </c>
      <c r="H67" s="21" t="s">
        <v>854</v>
      </c>
      <c r="I67" s="64">
        <v>781000</v>
      </c>
      <c r="J67" s="64">
        <v>148390</v>
      </c>
      <c r="K67" s="64">
        <v>929390</v>
      </c>
      <c r="L67" t="s">
        <v>1042</v>
      </c>
    </row>
    <row r="68" spans="1:12" x14ac:dyDescent="0.25">
      <c r="A68">
        <v>17</v>
      </c>
      <c r="B68" t="s">
        <v>1062</v>
      </c>
      <c r="C68" t="s">
        <v>1112</v>
      </c>
      <c r="D68" s="32">
        <v>45665</v>
      </c>
      <c r="H68" s="21" t="s">
        <v>522</v>
      </c>
      <c r="I68" s="64">
        <v>180950</v>
      </c>
      <c r="J68" s="64">
        <v>30580.5</v>
      </c>
      <c r="K68" s="64">
        <v>211530.5</v>
      </c>
      <c r="L68" t="s">
        <v>1042</v>
      </c>
    </row>
    <row r="69" spans="1:12" x14ac:dyDescent="0.25">
      <c r="A69">
        <v>8</v>
      </c>
      <c r="B69" t="s">
        <v>882</v>
      </c>
      <c r="C69" t="s">
        <v>1102</v>
      </c>
      <c r="D69" s="32">
        <v>45665</v>
      </c>
      <c r="H69" s="21" t="s">
        <v>854</v>
      </c>
      <c r="I69" s="64">
        <v>610780</v>
      </c>
      <c r="J69" s="64">
        <v>116048.2</v>
      </c>
      <c r="K69" s="64">
        <v>726828.2</v>
      </c>
      <c r="L69" t="s">
        <v>1042</v>
      </c>
    </row>
    <row r="70" spans="1:12" x14ac:dyDescent="0.25">
      <c r="A70">
        <v>3</v>
      </c>
      <c r="B70" t="s">
        <v>1165</v>
      </c>
      <c r="C70" t="s">
        <v>1169</v>
      </c>
      <c r="D70" s="32">
        <v>45665</v>
      </c>
      <c r="H70" s="21" t="s">
        <v>148</v>
      </c>
      <c r="I70" s="64">
        <v>65000</v>
      </c>
      <c r="J70" s="64">
        <v>12350</v>
      </c>
      <c r="K70" s="64">
        <v>77350</v>
      </c>
      <c r="L70" t="s">
        <v>1042</v>
      </c>
    </row>
    <row r="71" spans="1:12" x14ac:dyDescent="0.25">
      <c r="A71">
        <v>3</v>
      </c>
      <c r="B71" t="s">
        <v>1165</v>
      </c>
      <c r="C71" t="s">
        <v>1169</v>
      </c>
      <c r="D71" s="32">
        <v>45665</v>
      </c>
      <c r="H71" s="21" t="s">
        <v>148</v>
      </c>
      <c r="I71" s="64">
        <v>65000</v>
      </c>
      <c r="J71" s="64">
        <v>12350</v>
      </c>
      <c r="K71" s="64">
        <v>77350</v>
      </c>
      <c r="L71" t="s">
        <v>1042</v>
      </c>
    </row>
    <row r="72" spans="1:12" x14ac:dyDescent="0.25">
      <c r="A72">
        <v>3</v>
      </c>
      <c r="B72" t="s">
        <v>1165</v>
      </c>
      <c r="C72" t="s">
        <v>1169</v>
      </c>
      <c r="D72" s="32">
        <v>45665</v>
      </c>
      <c r="H72" s="21" t="s">
        <v>148</v>
      </c>
      <c r="I72" s="64">
        <v>32500</v>
      </c>
      <c r="J72" s="64">
        <v>6175</v>
      </c>
      <c r="K72" s="64">
        <v>38675</v>
      </c>
      <c r="L72" t="s">
        <v>1042</v>
      </c>
    </row>
    <row r="73" spans="1:12" x14ac:dyDescent="0.25">
      <c r="A73">
        <v>8</v>
      </c>
      <c r="B73" t="s">
        <v>882</v>
      </c>
      <c r="C73" t="s">
        <v>1102</v>
      </c>
      <c r="D73" s="32">
        <v>45665</v>
      </c>
      <c r="H73" s="21" t="s">
        <v>854</v>
      </c>
      <c r="I73" s="64">
        <v>461500</v>
      </c>
      <c r="J73" s="64">
        <v>87685</v>
      </c>
      <c r="K73" s="64">
        <v>549185</v>
      </c>
      <c r="L73" t="s">
        <v>1042</v>
      </c>
    </row>
    <row r="74" spans="1:12" x14ac:dyDescent="0.25">
      <c r="A74">
        <v>3</v>
      </c>
      <c r="B74" t="s">
        <v>1165</v>
      </c>
      <c r="C74" t="s">
        <v>1169</v>
      </c>
      <c r="D74" s="32">
        <v>45665</v>
      </c>
      <c r="H74" s="21" t="s">
        <v>148</v>
      </c>
      <c r="I74" s="64">
        <v>39000</v>
      </c>
      <c r="J74" s="64">
        <v>7410</v>
      </c>
      <c r="K74" s="64">
        <v>46410</v>
      </c>
      <c r="L74" t="s">
        <v>1042</v>
      </c>
    </row>
    <row r="75" spans="1:12" x14ac:dyDescent="0.25">
      <c r="A75">
        <v>3</v>
      </c>
      <c r="B75" t="s">
        <v>1165</v>
      </c>
      <c r="C75" t="s">
        <v>1169</v>
      </c>
      <c r="D75" s="32">
        <v>45665</v>
      </c>
      <c r="H75" s="21" t="s">
        <v>148</v>
      </c>
      <c r="I75" s="64">
        <v>32500</v>
      </c>
      <c r="J75" s="64">
        <v>6175</v>
      </c>
      <c r="K75" s="64">
        <v>38675</v>
      </c>
      <c r="L75" t="s">
        <v>1042</v>
      </c>
    </row>
    <row r="76" spans="1:12" x14ac:dyDescent="0.25">
      <c r="A76">
        <v>8</v>
      </c>
      <c r="B76" t="s">
        <v>882</v>
      </c>
      <c r="C76" t="s">
        <v>1102</v>
      </c>
      <c r="D76" s="32">
        <v>45665</v>
      </c>
      <c r="H76" s="21" t="s">
        <v>854</v>
      </c>
      <c r="I76" s="64">
        <v>461500</v>
      </c>
      <c r="J76" s="64">
        <v>87685</v>
      </c>
      <c r="K76" s="64">
        <v>549185</v>
      </c>
      <c r="L76" t="s">
        <v>1042</v>
      </c>
    </row>
    <row r="77" spans="1:12" x14ac:dyDescent="0.25">
      <c r="A77">
        <v>17</v>
      </c>
      <c r="B77" t="s">
        <v>1062</v>
      </c>
      <c r="C77" t="s">
        <v>1112</v>
      </c>
      <c r="D77" s="32">
        <v>45665</v>
      </c>
      <c r="H77" s="21" t="s">
        <v>522</v>
      </c>
      <c r="I77" s="64">
        <v>31100</v>
      </c>
      <c r="J77" s="64">
        <v>2109</v>
      </c>
      <c r="K77" s="64">
        <v>33209</v>
      </c>
      <c r="L77" t="s">
        <v>1042</v>
      </c>
    </row>
    <row r="78" spans="1:12" x14ac:dyDescent="0.25">
      <c r="A78">
        <v>15</v>
      </c>
      <c r="B78" t="s">
        <v>511</v>
      </c>
      <c r="C78" t="s">
        <v>513</v>
      </c>
      <c r="D78" s="32">
        <v>45665</v>
      </c>
      <c r="H78" s="21" t="s">
        <v>304</v>
      </c>
      <c r="I78" s="64">
        <v>318000</v>
      </c>
      <c r="J78" s="64">
        <v>60420</v>
      </c>
      <c r="K78" s="64">
        <v>378420</v>
      </c>
      <c r="L78" t="s">
        <v>1042</v>
      </c>
    </row>
    <row r="79" spans="1:12" x14ac:dyDescent="0.25">
      <c r="A79">
        <v>3</v>
      </c>
      <c r="B79" t="s">
        <v>1165</v>
      </c>
      <c r="C79" t="s">
        <v>1169</v>
      </c>
      <c r="D79" s="32">
        <v>45665</v>
      </c>
      <c r="H79" s="21" t="s">
        <v>148</v>
      </c>
      <c r="I79" s="64">
        <v>409500</v>
      </c>
      <c r="J79" s="64">
        <v>77805</v>
      </c>
      <c r="K79" s="64">
        <v>487305</v>
      </c>
      <c r="L79" t="s">
        <v>1042</v>
      </c>
    </row>
    <row r="80" spans="1:12" x14ac:dyDescent="0.25">
      <c r="A80">
        <v>8</v>
      </c>
      <c r="B80" t="s">
        <v>882</v>
      </c>
      <c r="C80" t="s">
        <v>1102</v>
      </c>
      <c r="D80" s="32">
        <v>45665</v>
      </c>
      <c r="H80" s="21" t="s">
        <v>854</v>
      </c>
      <c r="I80" s="64">
        <v>461500</v>
      </c>
      <c r="J80" s="64">
        <v>87685</v>
      </c>
      <c r="K80" s="64">
        <v>549185</v>
      </c>
      <c r="L80" t="s">
        <v>1042</v>
      </c>
    </row>
    <row r="81" spans="1:12" x14ac:dyDescent="0.25">
      <c r="A81">
        <v>17</v>
      </c>
      <c r="B81" t="s">
        <v>1062</v>
      </c>
      <c r="C81" t="s">
        <v>1112</v>
      </c>
      <c r="D81" s="32">
        <v>45665</v>
      </c>
      <c r="H81" s="21" t="s">
        <v>522</v>
      </c>
      <c r="I81" s="64">
        <v>145450</v>
      </c>
      <c r="J81" s="64">
        <v>20035.5</v>
      </c>
      <c r="K81" s="64">
        <v>165485.5</v>
      </c>
      <c r="L81" t="s">
        <v>1042</v>
      </c>
    </row>
    <row r="82" spans="1:12" x14ac:dyDescent="0.25">
      <c r="A82">
        <v>8</v>
      </c>
      <c r="B82" t="s">
        <v>882</v>
      </c>
      <c r="C82" t="s">
        <v>1102</v>
      </c>
      <c r="D82" s="32">
        <v>45665</v>
      </c>
      <c r="H82" s="21" t="s">
        <v>854</v>
      </c>
      <c r="I82" s="64">
        <v>1404500</v>
      </c>
      <c r="J82" s="64">
        <v>266855</v>
      </c>
      <c r="K82" s="64">
        <v>1671355</v>
      </c>
      <c r="L82" t="s">
        <v>1042</v>
      </c>
    </row>
    <row r="83" spans="1:12" x14ac:dyDescent="0.25">
      <c r="A83">
        <v>3</v>
      </c>
      <c r="B83" t="s">
        <v>1165</v>
      </c>
      <c r="C83" t="s">
        <v>1169</v>
      </c>
      <c r="D83" s="32">
        <v>45665</v>
      </c>
      <c r="H83" s="21" t="s">
        <v>148</v>
      </c>
      <c r="I83" s="64">
        <v>39000</v>
      </c>
      <c r="J83" s="64">
        <v>7410</v>
      </c>
      <c r="K83" s="64">
        <v>46410</v>
      </c>
      <c r="L83" t="s">
        <v>1042</v>
      </c>
    </row>
    <row r="84" spans="1:12" x14ac:dyDescent="0.25">
      <c r="A84">
        <v>17</v>
      </c>
      <c r="B84" t="s">
        <v>1062</v>
      </c>
      <c r="C84" t="s">
        <v>1112</v>
      </c>
      <c r="D84" s="32">
        <v>45900</v>
      </c>
      <c r="H84" s="21" t="s">
        <v>522</v>
      </c>
      <c r="I84" s="64">
        <v>309750</v>
      </c>
      <c r="J84" s="64">
        <v>47452.5</v>
      </c>
      <c r="K84" s="64">
        <v>357202.5</v>
      </c>
      <c r="L84" t="s">
        <v>1042</v>
      </c>
    </row>
    <row r="85" spans="1:12" x14ac:dyDescent="0.25">
      <c r="A85">
        <v>8</v>
      </c>
      <c r="B85" t="s">
        <v>882</v>
      </c>
      <c r="C85" t="s">
        <v>1102</v>
      </c>
      <c r="D85" s="32">
        <v>45900</v>
      </c>
      <c r="H85" s="21" t="s">
        <v>854</v>
      </c>
      <c r="I85" s="64">
        <v>406500</v>
      </c>
      <c r="J85" s="64">
        <v>77235</v>
      </c>
      <c r="K85" s="64">
        <v>483735</v>
      </c>
      <c r="L85" t="s">
        <v>1042</v>
      </c>
    </row>
    <row r="86" spans="1:12" x14ac:dyDescent="0.25">
      <c r="A86">
        <v>8</v>
      </c>
      <c r="B86" t="s">
        <v>882</v>
      </c>
      <c r="C86" t="s">
        <v>1102</v>
      </c>
      <c r="D86" s="32">
        <v>45900</v>
      </c>
      <c r="H86" s="21" t="s">
        <v>854</v>
      </c>
      <c r="I86" s="64">
        <v>491500</v>
      </c>
      <c r="J86" s="64">
        <v>93385</v>
      </c>
      <c r="K86" s="64">
        <v>584885</v>
      </c>
      <c r="L86" t="s">
        <v>1042</v>
      </c>
    </row>
    <row r="87" spans="1:12" x14ac:dyDescent="0.25">
      <c r="A87">
        <v>8</v>
      </c>
      <c r="B87" t="s">
        <v>882</v>
      </c>
      <c r="C87" t="s">
        <v>1102</v>
      </c>
      <c r="D87" s="32">
        <v>45930</v>
      </c>
      <c r="H87" s="21" t="s">
        <v>854</v>
      </c>
      <c r="I87" s="64">
        <v>491500</v>
      </c>
      <c r="J87" s="64">
        <v>93385</v>
      </c>
      <c r="K87" s="64">
        <v>584885</v>
      </c>
      <c r="L87" t="s">
        <v>1042</v>
      </c>
    </row>
    <row r="88" spans="1:12" x14ac:dyDescent="0.25">
      <c r="A88">
        <v>8</v>
      </c>
      <c r="B88" t="s">
        <v>882</v>
      </c>
      <c r="C88" t="s">
        <v>1102</v>
      </c>
      <c r="D88" s="32">
        <v>45899</v>
      </c>
      <c r="H88" s="21" t="s">
        <v>854</v>
      </c>
      <c r="I88" s="64">
        <v>491500</v>
      </c>
      <c r="J88" s="64">
        <v>93385</v>
      </c>
      <c r="K88" s="64">
        <v>584885</v>
      </c>
      <c r="L88" t="s">
        <v>1042</v>
      </c>
    </row>
    <row r="89" spans="1:12" x14ac:dyDescent="0.25">
      <c r="A89">
        <v>3</v>
      </c>
      <c r="B89" t="s">
        <v>1165</v>
      </c>
      <c r="C89" t="s">
        <v>1169</v>
      </c>
      <c r="D89" s="32">
        <v>45930</v>
      </c>
      <c r="H89" s="21" t="s">
        <v>148</v>
      </c>
      <c r="I89" s="64">
        <v>39000</v>
      </c>
      <c r="J89" s="64">
        <v>7410</v>
      </c>
      <c r="K89" s="64">
        <v>46410</v>
      </c>
      <c r="L89" t="s">
        <v>1042</v>
      </c>
    </row>
    <row r="90" spans="1:12" x14ac:dyDescent="0.25">
      <c r="A90">
        <v>8</v>
      </c>
      <c r="B90" t="s">
        <v>882</v>
      </c>
      <c r="C90" t="s">
        <v>1102</v>
      </c>
      <c r="D90" s="32">
        <v>45869</v>
      </c>
      <c r="H90" s="21" t="s">
        <v>854</v>
      </c>
      <c r="I90" s="64">
        <v>1169500</v>
      </c>
      <c r="J90" s="64">
        <v>222205</v>
      </c>
      <c r="K90" s="64">
        <v>1391705</v>
      </c>
      <c r="L90" t="s">
        <v>1042</v>
      </c>
    </row>
    <row r="91" spans="1:12" x14ac:dyDescent="0.25">
      <c r="A91">
        <v>8</v>
      </c>
      <c r="B91" t="s">
        <v>882</v>
      </c>
      <c r="C91" t="s">
        <v>1102</v>
      </c>
      <c r="D91" s="32">
        <v>45961</v>
      </c>
      <c r="H91" s="21" t="s">
        <v>854</v>
      </c>
      <c r="I91" s="64">
        <v>491500</v>
      </c>
      <c r="J91" s="64">
        <v>93385</v>
      </c>
      <c r="K91" s="64">
        <v>584885</v>
      </c>
      <c r="L91" t="s">
        <v>1042</v>
      </c>
    </row>
    <row r="92" spans="1:12" x14ac:dyDescent="0.25">
      <c r="A92">
        <v>2</v>
      </c>
      <c r="B92" t="s">
        <v>2014</v>
      </c>
      <c r="C92" t="s">
        <v>2050</v>
      </c>
      <c r="D92" s="32">
        <v>45961</v>
      </c>
      <c r="H92" s="21" t="s">
        <v>137</v>
      </c>
      <c r="I92" s="64">
        <v>545200</v>
      </c>
      <c r="J92" s="64">
        <v>84588</v>
      </c>
      <c r="K92" s="64">
        <v>629788</v>
      </c>
      <c r="L92" t="s">
        <v>1042</v>
      </c>
    </row>
    <row r="93" spans="1:12" x14ac:dyDescent="0.25">
      <c r="A93">
        <v>8</v>
      </c>
      <c r="B93" t="s">
        <v>882</v>
      </c>
      <c r="C93" t="s">
        <v>1102</v>
      </c>
      <c r="D93" s="32">
        <v>45991</v>
      </c>
      <c r="H93" s="21" t="s">
        <v>854</v>
      </c>
      <c r="I93" s="64">
        <v>491500</v>
      </c>
      <c r="J93" s="64">
        <v>93385</v>
      </c>
      <c r="K93" s="64">
        <v>584885</v>
      </c>
      <c r="L93" t="s">
        <v>1042</v>
      </c>
    </row>
    <row r="94" spans="1:12" x14ac:dyDescent="0.25">
      <c r="A94">
        <v>2</v>
      </c>
      <c r="B94" t="s">
        <v>2014</v>
      </c>
      <c r="C94" t="s">
        <v>2050</v>
      </c>
      <c r="D94" s="32">
        <v>45991</v>
      </c>
      <c r="H94" s="21" t="s">
        <v>137</v>
      </c>
      <c r="I94" s="64">
        <v>370800</v>
      </c>
      <c r="J94" s="64">
        <v>70452</v>
      </c>
      <c r="K94" s="64">
        <v>441252</v>
      </c>
      <c r="L94" t="s">
        <v>1042</v>
      </c>
    </row>
    <row r="95" spans="1:12" x14ac:dyDescent="0.25">
      <c r="A95">
        <v>3</v>
      </c>
      <c r="B95" t="s">
        <v>1165</v>
      </c>
      <c r="C95" t="s">
        <v>1169</v>
      </c>
      <c r="D95" s="32">
        <v>46022</v>
      </c>
      <c r="H95" s="21" t="s">
        <v>148</v>
      </c>
      <c r="I95" s="64">
        <v>39000</v>
      </c>
      <c r="J95" s="64">
        <v>7410</v>
      </c>
      <c r="K95" s="64">
        <v>46410</v>
      </c>
      <c r="L95" t="s">
        <v>1042</v>
      </c>
    </row>
    <row r="96" spans="1:12" x14ac:dyDescent="0.25">
      <c r="A96">
        <v>17</v>
      </c>
      <c r="B96" t="s">
        <v>1062</v>
      </c>
      <c r="C96" t="s">
        <v>1112</v>
      </c>
      <c r="D96" s="32">
        <v>46022</v>
      </c>
      <c r="H96" s="21" t="s">
        <v>522</v>
      </c>
      <c r="I96" s="64">
        <v>73300</v>
      </c>
      <c r="J96" s="64">
        <v>6327</v>
      </c>
      <c r="K96" s="64">
        <v>79627</v>
      </c>
      <c r="L96" t="s">
        <v>1042</v>
      </c>
    </row>
    <row r="97" spans="1:12" x14ac:dyDescent="0.25">
      <c r="A97">
        <v>17</v>
      </c>
      <c r="B97" t="s">
        <v>1062</v>
      </c>
      <c r="C97" t="s">
        <v>1112</v>
      </c>
      <c r="D97" s="32">
        <v>46053</v>
      </c>
      <c r="H97" s="21" t="s">
        <v>522</v>
      </c>
      <c r="I97" s="64">
        <v>306400</v>
      </c>
      <c r="J97" s="64">
        <v>50616</v>
      </c>
      <c r="K97" s="64">
        <v>357016</v>
      </c>
      <c r="L97" t="s">
        <v>1042</v>
      </c>
    </row>
    <row r="98" spans="1:12" x14ac:dyDescent="0.25">
      <c r="A98">
        <v>17</v>
      </c>
      <c r="B98" t="s">
        <v>1062</v>
      </c>
      <c r="C98" t="s">
        <v>1112</v>
      </c>
      <c r="D98" s="32">
        <v>46081</v>
      </c>
      <c r="H98" s="21" t="s">
        <v>522</v>
      </c>
      <c r="I98" s="64">
        <v>573950</v>
      </c>
      <c r="J98" s="64">
        <v>93850.5</v>
      </c>
      <c r="K98" s="64">
        <v>667800.5</v>
      </c>
      <c r="L98" t="s">
        <v>1042</v>
      </c>
    </row>
    <row r="99" spans="1:12" x14ac:dyDescent="0.25">
      <c r="A99">
        <v>3</v>
      </c>
      <c r="B99" t="s">
        <v>1165</v>
      </c>
      <c r="C99" t="s">
        <v>1169</v>
      </c>
      <c r="D99" s="32">
        <v>46112</v>
      </c>
      <c r="H99" s="21" t="s">
        <v>148</v>
      </c>
      <c r="I99" s="64">
        <v>249000</v>
      </c>
      <c r="J99" s="64">
        <v>47310</v>
      </c>
      <c r="K99" s="64">
        <v>296310</v>
      </c>
      <c r="L99" t="s">
        <v>1042</v>
      </c>
    </row>
    <row r="100" spans="1:12" x14ac:dyDescent="0.25">
      <c r="A100">
        <v>17</v>
      </c>
      <c r="B100" t="s">
        <v>1062</v>
      </c>
      <c r="C100" t="s">
        <v>1112</v>
      </c>
      <c r="D100" s="32">
        <v>46112</v>
      </c>
      <c r="H100" s="21" t="s">
        <v>522</v>
      </c>
      <c r="I100" s="64">
        <v>952551</v>
      </c>
      <c r="J100" s="64">
        <v>147848.69</v>
      </c>
      <c r="K100" s="64">
        <v>1100399.69</v>
      </c>
      <c r="L100" t="s">
        <v>1042</v>
      </c>
    </row>
    <row r="101" spans="1:12" x14ac:dyDescent="0.25">
      <c r="A101">
        <v>17</v>
      </c>
      <c r="B101" t="s">
        <v>1062</v>
      </c>
      <c r="C101" t="s">
        <v>1112</v>
      </c>
      <c r="D101" s="32">
        <v>46112</v>
      </c>
      <c r="H101" s="21" t="s">
        <v>522</v>
      </c>
      <c r="I101" s="64">
        <v>938151</v>
      </c>
      <c r="J101" s="64">
        <v>147848.69</v>
      </c>
      <c r="K101" s="64">
        <v>1085999.69</v>
      </c>
      <c r="L101" t="s">
        <v>1042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2"/>
  <dimension ref="A1:H1"/>
  <sheetViews>
    <sheetView workbookViewId="0">
      <selection activeCell="A10" sqref="A10"/>
    </sheetView>
  </sheetViews>
  <sheetFormatPr baseColWidth="10" defaultColWidth="11.42578125" defaultRowHeight="15" x14ac:dyDescent="0.25"/>
  <cols>
    <col min="1" max="1" width="95" customWidth="1"/>
  </cols>
  <sheetData>
    <row r="1" spans="1:8" ht="66" customHeight="1" x14ac:dyDescent="0.25">
      <c r="A1" s="35" t="s">
        <v>1282</v>
      </c>
      <c r="B1" s="35"/>
      <c r="C1" s="35"/>
      <c r="D1" s="35"/>
      <c r="E1" s="35"/>
      <c r="F1" s="35"/>
      <c r="G1" s="35"/>
      <c r="H1" s="3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7</vt:i4>
      </vt:variant>
    </vt:vector>
  </HeadingPairs>
  <TitlesOfParts>
    <vt:vector size="17" baseType="lpstr">
      <vt:lpstr>LISTA DE PRECIO</vt:lpstr>
      <vt:lpstr>INFORMES OBRAS</vt:lpstr>
      <vt:lpstr>EMPRESAS REGULARES</vt:lpstr>
      <vt:lpstr>LISTA EMPRESAS REGULARES</vt:lpstr>
      <vt:lpstr>EMPRESAS VARIOS OBRAS</vt:lpstr>
      <vt:lpstr>LISTA EMPRESAS VARIOS OBRAS</vt:lpstr>
      <vt:lpstr>CLIENTES</vt:lpstr>
      <vt:lpstr>OBRAS</vt:lpstr>
      <vt:lpstr>BASE FACTURACION</vt:lpstr>
      <vt:lpstr>PIE DE FACTURA</vt:lpstr>
      <vt:lpstr>CLIENTES!Área_de_impresión</vt:lpstr>
      <vt:lpstr>EMPRESAS_REGULARES</vt:lpstr>
      <vt:lpstr>EMPRESAS_VARIOS_OBRAS</vt:lpstr>
      <vt:lpstr>INFORME</vt:lpstr>
      <vt:lpstr>OBRA</vt:lpstr>
      <vt:lpstr>CLIENTES!Títulos_a_imprimir</vt:lpstr>
      <vt:lpstr>OBRAS!Títulos_a_imprimir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2019-05-29T17:43:46Z</cp:lastPrinted>
  <dcterms:created xsi:type="dcterms:W3CDTF">2016-05-13T12:54:29Z</dcterms:created>
  <dcterms:modified xsi:type="dcterms:W3CDTF">2026-09-09T16:30:33Z</dcterms:modified>
</cp:coreProperties>
</file>