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 2\Documents\"/>
    </mc:Choice>
  </mc:AlternateContent>
  <xr:revisionPtr revIDLastSave="0" documentId="8_{B070E345-6B4F-42AC-AF05-66EA0609169A}" xr6:coauthVersionLast="47" xr6:coauthVersionMax="47" xr10:uidLastSave="{00000000-0000-0000-0000-000000000000}"/>
  <bookViews>
    <workbookView xWindow="-120" yWindow="-120" windowWidth="29040" windowHeight="15840" xr2:uid="{0FFA4F38-6233-443E-9586-427EE87CFE71}"/>
  </bookViews>
  <sheets>
    <sheet name="PLANTILLA" sheetId="1" r:id="rId1"/>
  </sheets>
  <externalReferences>
    <externalReference r:id="rId2"/>
  </externalReferences>
  <definedNames>
    <definedName name="_xlnm._FilterDatabase" localSheetId="0" hidden="1">PLANTILLA!$A$9:$V$17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" l="1"/>
  <c r="K18" i="1"/>
  <c r="L18" i="1" s="1"/>
  <c r="S18" i="1" s="1"/>
  <c r="P17" i="1"/>
  <c r="K17" i="1"/>
  <c r="L17" i="1" s="1"/>
  <c r="S17" i="1" s="1"/>
  <c r="T17" i="1" s="1"/>
  <c r="P16" i="1"/>
  <c r="K16" i="1"/>
  <c r="L16" i="1" s="1"/>
  <c r="S16" i="1" s="1"/>
  <c r="P15" i="1"/>
  <c r="K15" i="1"/>
  <c r="L15" i="1" s="1"/>
  <c r="S15" i="1" s="1"/>
  <c r="T15" i="1" s="1"/>
  <c r="P14" i="1"/>
  <c r="K14" i="1"/>
  <c r="L14" i="1" s="1"/>
  <c r="S14" i="1" s="1"/>
  <c r="C14" i="1"/>
  <c r="D14" i="1" s="1"/>
  <c r="V14" i="1" s="1"/>
  <c r="B14" i="1"/>
  <c r="B15" i="1" s="1"/>
  <c r="B16" i="1" s="1"/>
  <c r="B17" i="1" s="1"/>
  <c r="B18" i="1" s="1"/>
  <c r="A14" i="1"/>
  <c r="A15" i="1" s="1"/>
  <c r="A16" i="1" s="1"/>
  <c r="A17" i="1" s="1"/>
  <c r="A18" i="1" s="1"/>
  <c r="P13" i="1"/>
  <c r="K13" i="1"/>
  <c r="L13" i="1" s="1"/>
  <c r="S13" i="1" s="1"/>
  <c r="T13" i="1" s="1"/>
  <c r="P12" i="1"/>
  <c r="K12" i="1"/>
  <c r="L12" i="1" s="1"/>
  <c r="S12" i="1" s="1"/>
  <c r="T12" i="1" s="1"/>
  <c r="G12" i="1"/>
  <c r="G13" i="1" s="1"/>
  <c r="G14" i="1" s="1"/>
  <c r="G15" i="1" s="1"/>
  <c r="G16" i="1" s="1"/>
  <c r="G17" i="1" s="1"/>
  <c r="G18" i="1" s="1"/>
  <c r="F12" i="1"/>
  <c r="F13" i="1" s="1"/>
  <c r="F14" i="1" s="1"/>
  <c r="F15" i="1" s="1"/>
  <c r="F16" i="1" s="1"/>
  <c r="F17" i="1" s="1"/>
  <c r="F18" i="1" s="1"/>
  <c r="C12" i="1"/>
  <c r="D12" i="1" s="1"/>
  <c r="V12" i="1" s="1"/>
  <c r="B12" i="1"/>
  <c r="B13" i="1" s="1"/>
  <c r="A12" i="1"/>
  <c r="A13" i="1" s="1"/>
  <c r="P11" i="1"/>
  <c r="K11" i="1"/>
  <c r="L11" i="1" s="1"/>
  <c r="S11" i="1" s="1"/>
  <c r="T11" i="1" s="1"/>
  <c r="D11" i="1"/>
  <c r="V11" i="1" s="1"/>
  <c r="AE6" i="1"/>
  <c r="T14" i="1" l="1"/>
  <c r="T16" i="1"/>
  <c r="T18" i="1"/>
  <c r="C13" i="1"/>
  <c r="D13" i="1" s="1"/>
  <c r="V13" i="1" s="1"/>
  <c r="C15" i="1"/>
  <c r="D15" i="1" l="1"/>
  <c r="V15" i="1" s="1"/>
  <c r="C16" i="1"/>
  <c r="D16" i="1" l="1"/>
  <c r="V16" i="1" s="1"/>
  <c r="C17" i="1"/>
  <c r="D17" i="1" l="1"/>
  <c r="V17" i="1" s="1"/>
  <c r="C18" i="1"/>
  <c r="D18" i="1" s="1"/>
  <c r="V18" i="1" s="1"/>
</calcChain>
</file>

<file path=xl/sharedStrings.xml><?xml version="1.0" encoding="utf-8"?>
<sst xmlns="http://schemas.openxmlformats.org/spreadsheetml/2006/main" count="48" uniqueCount="44">
  <si>
    <t xml:space="preserve">RELACION DE MUESTRAS ENSAYADAS DE CILINDROS, GROUTING, MORTEROS Y VIGAS.  </t>
  </si>
  <si>
    <t>Código: F-GT-05</t>
  </si>
  <si>
    <t>Versión: 02</t>
  </si>
  <si>
    <t>Fecha: 2017-05-12</t>
  </si>
  <si>
    <t>CORRECCION INSTRUMENTO</t>
  </si>
  <si>
    <t>CLIENTE. C.C:</t>
  </si>
  <si>
    <t>DIAMETRO</t>
  </si>
  <si>
    <t>LONGITUD</t>
  </si>
  <si>
    <t>A0</t>
  </si>
  <si>
    <t>A1</t>
  </si>
  <si>
    <t>A2</t>
  </si>
  <si>
    <t>A3</t>
  </si>
  <si>
    <t>NOMBRE OBRA</t>
  </si>
  <si>
    <t>3"</t>
  </si>
  <si>
    <t>4"</t>
  </si>
  <si>
    <t>6"</t>
  </si>
  <si>
    <t>C.O:</t>
  </si>
  <si>
    <t>MUESTRA No</t>
  </si>
  <si>
    <t>LOCALIZACIÓN</t>
  </si>
  <si>
    <t>FECHA TOMA</t>
  </si>
  <si>
    <t>FECHA FALLA</t>
  </si>
  <si>
    <t>EDAD (DIAS)</t>
  </si>
  <si>
    <r>
      <t>D</t>
    </r>
    <r>
      <rPr>
        <b/>
        <vertAlign val="subscript"/>
        <sz val="11"/>
        <color rgb="FF000000"/>
        <rFont val="Calibri"/>
        <family val="2"/>
        <scheme val="minor"/>
      </rPr>
      <t xml:space="preserve">TEÓR </t>
    </r>
    <r>
      <rPr>
        <b/>
        <sz val="11"/>
        <color rgb="FF000000"/>
        <rFont val="Calibri"/>
        <family val="2"/>
        <scheme val="minor"/>
      </rPr>
      <t>(")</t>
    </r>
  </si>
  <si>
    <t>F´c (Mpa)</t>
  </si>
  <si>
    <r>
      <t>DIAMETRO</t>
    </r>
    <r>
      <rPr>
        <b/>
        <vertAlign val="subscript"/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(mm)</t>
    </r>
  </si>
  <si>
    <r>
      <t xml:space="preserve">DIAMETRO </t>
    </r>
    <r>
      <rPr>
        <b/>
        <vertAlign val="subscript"/>
        <sz val="11"/>
        <color rgb="FF000000"/>
        <rFont val="Calibri"/>
        <family val="2"/>
        <scheme val="minor"/>
      </rPr>
      <t xml:space="preserve">REAL </t>
    </r>
    <r>
      <rPr>
        <b/>
        <sz val="11"/>
        <color rgb="FF000000"/>
        <rFont val="Calibri"/>
        <family val="2"/>
        <scheme val="minor"/>
      </rPr>
      <t>(mm)</t>
    </r>
  </si>
  <si>
    <t>AREA (mm)</t>
  </si>
  <si>
    <r>
      <rPr>
        <b/>
        <vertAlign val="subscript"/>
        <sz val="11"/>
        <color rgb="FF000000"/>
        <rFont val="Calibri"/>
        <family val="2"/>
        <scheme val="minor"/>
      </rPr>
      <t xml:space="preserve">LONGITUD </t>
    </r>
    <r>
      <rPr>
        <b/>
        <sz val="11"/>
        <color rgb="FF000000"/>
        <rFont val="Calibri"/>
        <family val="2"/>
        <scheme val="minor"/>
      </rPr>
      <t>(mm)</t>
    </r>
  </si>
  <si>
    <r>
      <t xml:space="preserve">LONGITUD </t>
    </r>
    <r>
      <rPr>
        <b/>
        <vertAlign val="subscript"/>
        <sz val="11"/>
        <color rgb="FF000000"/>
        <rFont val="Calibri"/>
        <family val="2"/>
        <scheme val="minor"/>
      </rPr>
      <t xml:space="preserve">REAL </t>
    </r>
    <r>
      <rPr>
        <b/>
        <sz val="11"/>
        <color rgb="FF000000"/>
        <rFont val="Calibri"/>
        <family val="2"/>
        <scheme val="minor"/>
      </rPr>
      <t>(mm)</t>
    </r>
  </si>
  <si>
    <t>PESO (g)</t>
  </si>
  <si>
    <t>CARGA MÁXIMA (KN)</t>
  </si>
  <si>
    <t>ESFUERZO (MPa)</t>
  </si>
  <si>
    <t>% DESARROLLO</t>
  </si>
  <si>
    <t>NUMERO DE INFORME</t>
  </si>
  <si>
    <t>FALLA</t>
  </si>
  <si>
    <t>FORMA FALLA</t>
  </si>
  <si>
    <t>D1</t>
  </si>
  <si>
    <t>D2</t>
  </si>
  <si>
    <t>D3</t>
  </si>
  <si>
    <t>D.P</t>
  </si>
  <si>
    <t>L1</t>
  </si>
  <si>
    <t>L2</t>
  </si>
  <si>
    <t>L3</t>
  </si>
  <si>
    <t>L.P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</si>
</sst>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1" fillId="0" borderId="0" xfId="0" applyFont="1" applyProtection="1">
      <protection locked="0"/>
    </xf>
    <xf numFmtId="49" fontId="0" fillId="0" borderId="0" xfId="0" applyNumberFormat="1" applyProtection="1"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11" fontId="0" fillId="0" borderId="0" xfId="0" applyNumberFormat="1"/>
    <xf numFmtId="49" fontId="0" fillId="0" borderId="0" xfId="0" applyNumberFormat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8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/>
    <xf numFmtId="11" fontId="1" fillId="0" borderId="0" xfId="0" applyNumberFormat="1" applyFont="1"/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1" fillId="2" borderId="22" xfId="0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1" fillId="2" borderId="24" xfId="0" applyFont="1" applyFill="1" applyBorder="1" applyAlignment="1" applyProtection="1">
      <alignment horizontal="center"/>
      <protection locked="0"/>
    </xf>
    <xf numFmtId="0" fontId="1" fillId="2" borderId="25" xfId="0" applyFont="1" applyFill="1" applyBorder="1" applyAlignment="1" applyProtection="1">
      <alignment horizontal="center"/>
      <protection locked="0"/>
    </xf>
    <xf numFmtId="0" fontId="1" fillId="2" borderId="15" xfId="0" applyFont="1" applyFill="1" applyBorder="1" applyAlignment="1" applyProtection="1">
      <alignment horizontal="center"/>
      <protection locked="0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 vertical="center" wrapText="1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29" xfId="0" applyBorder="1" applyProtection="1">
      <protection locked="0"/>
    </xf>
    <xf numFmtId="14" fontId="0" fillId="0" borderId="29" xfId="0" applyNumberFormat="1" applyBorder="1" applyProtection="1">
      <protection locked="0"/>
    </xf>
    <xf numFmtId="14" fontId="0" fillId="0" borderId="29" xfId="0" applyNumberFormat="1" applyBorder="1"/>
    <xf numFmtId="0" fontId="0" fillId="0" borderId="29" xfId="0" applyBorder="1" applyAlignment="1" applyProtection="1">
      <alignment horizontal="right"/>
      <protection locked="0"/>
    </xf>
    <xf numFmtId="164" fontId="9" fillId="0" borderId="4" xfId="0" applyNumberFormat="1" applyFont="1" applyBorder="1" applyAlignment="1">
      <alignment horizontal="right"/>
    </xf>
    <xf numFmtId="2" fontId="9" fillId="0" borderId="4" xfId="0" applyNumberFormat="1" applyFont="1" applyBorder="1" applyAlignment="1">
      <alignment horizontal="right"/>
    </xf>
    <xf numFmtId="2" fontId="9" fillId="0" borderId="29" xfId="0" applyNumberFormat="1" applyFont="1" applyBorder="1" applyAlignment="1">
      <alignment horizontal="right"/>
    </xf>
    <xf numFmtId="9" fontId="9" fillId="0" borderId="29" xfId="0" applyNumberFormat="1" applyFont="1" applyBorder="1"/>
    <xf numFmtId="0" fontId="6" fillId="0" borderId="29" xfId="0" applyFont="1" applyBorder="1"/>
    <xf numFmtId="0" fontId="0" fillId="0" borderId="30" xfId="0" applyBorder="1" applyAlignment="1" applyProtection="1">
      <alignment horizontal="center"/>
      <protection locked="0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4" fontId="0" fillId="3" borderId="4" xfId="0" applyNumberFormat="1" applyFill="1" applyBorder="1"/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right"/>
      <protection locked="0"/>
    </xf>
    <xf numFmtId="9" fontId="9" fillId="0" borderId="4" xfId="0" applyNumberFormat="1" applyFont="1" applyBorder="1"/>
    <xf numFmtId="0" fontId="0" fillId="0" borderId="4" xfId="0" applyBorder="1" applyProtection="1">
      <protection locked="0"/>
    </xf>
    <xf numFmtId="0" fontId="6" fillId="0" borderId="4" xfId="0" applyFont="1" applyBorder="1"/>
    <xf numFmtId="0" fontId="0" fillId="0" borderId="31" xfId="0" applyBorder="1" applyAlignment="1" applyProtection="1">
      <alignment horizontal="center"/>
      <protection locked="0"/>
    </xf>
    <xf numFmtId="0" fontId="0" fillId="0" borderId="4" xfId="0" applyBorder="1"/>
    <xf numFmtId="14" fontId="0" fillId="0" borderId="4" xfId="0" applyNumberFormat="1" applyBorder="1"/>
    <xf numFmtId="0" fontId="0" fillId="0" borderId="32" xfId="0" applyBorder="1" applyAlignment="1">
      <alignment horizontal="center"/>
    </xf>
    <xf numFmtId="0" fontId="0" fillId="0" borderId="32" xfId="0" applyBorder="1"/>
    <xf numFmtId="14" fontId="0" fillId="0" borderId="32" xfId="0" applyNumberFormat="1" applyBorder="1"/>
    <xf numFmtId="0" fontId="0" fillId="0" borderId="32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right"/>
      <protection locked="0"/>
    </xf>
    <xf numFmtId="164" fontId="9" fillId="0" borderId="32" xfId="0" applyNumberFormat="1" applyFont="1" applyBorder="1" applyAlignment="1">
      <alignment horizontal="right"/>
    </xf>
    <xf numFmtId="2" fontId="9" fillId="0" borderId="32" xfId="0" applyNumberFormat="1" applyFont="1" applyBorder="1" applyAlignment="1">
      <alignment horizontal="right"/>
    </xf>
    <xf numFmtId="9" fontId="9" fillId="0" borderId="32" xfId="0" applyNumberFormat="1" applyFont="1" applyBorder="1"/>
    <xf numFmtId="0" fontId="0" fillId="0" borderId="32" xfId="0" applyBorder="1" applyProtection="1">
      <protection locked="0"/>
    </xf>
    <xf numFmtId="0" fontId="6" fillId="0" borderId="32" xfId="0" applyFont="1" applyBorder="1"/>
    <xf numFmtId="0" fontId="0" fillId="0" borderId="3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126999</xdr:colOff>
      <xdr:row>0</xdr:row>
      <xdr:rowOff>95250</xdr:rowOff>
    </xdr:from>
    <xdr:to>
      <xdr:col>6</xdr:col>
      <xdr:colOff>492124</xdr:colOff>
      <xdr:row>2</xdr:row>
      <xdr:rowOff>428625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8CDA83BB-9BC8-4CD9-8883-F71D8D9D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95250"/>
          <a:ext cx="58991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952500</xdr:colOff>
          <xdr:row>5</xdr:row>
          <xdr:rowOff>314325</xdr:rowOff>
        </xdr:from>
        <xdr:to>
          <xdr:col>22</xdr:col>
          <xdr:colOff>1257300</xdr:colOff>
          <xdr:row>7</xdr:row>
          <xdr:rowOff>114300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55763A4-9E3E-48CD-872D-78D9FD9BC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PASAR COMPRESION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962025</xdr:colOff>
          <xdr:row>5</xdr:row>
          <xdr:rowOff>314325</xdr:rowOff>
        </xdr:from>
        <xdr:to>
          <xdr:col>21</xdr:col>
          <xdr:colOff>857250</xdr:colOff>
          <xdr:row>7</xdr:row>
          <xdr:rowOff>114300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94C3864-9E12-40D4-B4BD-2A9C9D5D7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PASAR COMPRESION INDIVIDUAL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95250</xdr:colOff>
          <xdr:row>4</xdr:row>
          <xdr:rowOff>57150</xdr:rowOff>
        </xdr:from>
        <xdr:to>
          <xdr:col>17</xdr:col>
          <xdr:colOff>771525</xdr:colOff>
          <xdr:row>5</xdr:row>
          <xdr:rowOff>190500</xdr:rowOff>
        </xdr:to>
        <xdr:sp macro="" textlink="">
          <xdr:nvSpPr>
            <xdr:cNvPr id="1027" name="Button 5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FB5A5E4-A734-4B2F-A91F-4461BCE4F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CORRECCION INSTR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95250</xdr:colOff>
          <xdr:row>6</xdr:row>
          <xdr:rowOff>9525</xdr:rowOff>
        </xdr:from>
        <xdr:to>
          <xdr:col>17</xdr:col>
          <xdr:colOff>771525</xdr:colOff>
          <xdr:row>7</xdr:row>
          <xdr:rowOff>142875</xdr:rowOff>
        </xdr:to>
        <xdr:sp macro="" textlink="">
          <xdr:nvSpPr>
            <xdr:cNvPr id="1028" name="Button 6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AC09F0B-18A9-4207-87FA-000F286A9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CORRECCION INSTR</a:t>
              </a:r>
            </a:p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INDIVIDUAL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885825</xdr:colOff>
          <xdr:row>6</xdr:row>
          <xdr:rowOff>19050</xdr:rowOff>
        </xdr:from>
        <xdr:to>
          <xdr:col>19</xdr:col>
          <xdr:colOff>371475</xdr:colOff>
          <xdr:row>7</xdr:row>
          <xdr:rowOff>142875</xdr:rowOff>
        </xdr:to>
        <xdr:sp macro="" textlink="">
          <xdr:nvSpPr>
            <xdr:cNvPr id="1029" name="Button 7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496863A-D0A3-447E-B512-AD16A9AA5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VERIFICAR DATOS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457200</xdr:colOff>
          <xdr:row>6</xdr:row>
          <xdr:rowOff>9525</xdr:rowOff>
        </xdr:from>
        <xdr:to>
          <xdr:col>20</xdr:col>
          <xdr:colOff>876300</xdr:colOff>
          <xdr:row>7</xdr:row>
          <xdr:rowOff>142875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6943DBE-1A17-429D-8F8E-9457786E7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INSERTAR FILAS MUESTRA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457200</xdr:colOff>
          <xdr:row>4</xdr:row>
          <xdr:rowOff>47625</xdr:rowOff>
        </xdr:from>
        <xdr:to>
          <xdr:col>20</xdr:col>
          <xdr:colOff>876300</xdr:colOff>
          <xdr:row>5</xdr:row>
          <xdr:rowOff>180975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B30430-49EE-4414-B65A-546099F30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INSETAR FILAS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952500</xdr:colOff>
          <xdr:row>4</xdr:row>
          <xdr:rowOff>47625</xdr:rowOff>
        </xdr:from>
        <xdr:to>
          <xdr:col>21</xdr:col>
          <xdr:colOff>828675</xdr:colOff>
          <xdr:row>5</xdr:row>
          <xdr:rowOff>180975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FF3F1A29-1C5A-4942-9E63-210A1717F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ELIMINAR FILAS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971550</xdr:colOff>
          <xdr:row>4</xdr:row>
          <xdr:rowOff>28575</xdr:rowOff>
        </xdr:from>
        <xdr:to>
          <xdr:col>22</xdr:col>
          <xdr:colOff>1247775</xdr:colOff>
          <xdr:row>5</xdr:row>
          <xdr:rowOff>161925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E1049FB-313E-47E5-9AB9-DD9B4FCF7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DESPROTEGER MUESTRAS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866775</xdr:colOff>
          <xdr:row>4</xdr:row>
          <xdr:rowOff>66675</xdr:rowOff>
        </xdr:from>
        <xdr:to>
          <xdr:col>19</xdr:col>
          <xdr:colOff>361950</xdr:colOff>
          <xdr:row>5</xdr:row>
          <xdr:rowOff>190500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4B3BF82-F17D-457C-A572-05B1536D2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NUMERO INFORME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GEOLAB%20BUCARAMANGA\6.%20Gesti&#243;n%20T&#233;cnica\CONCRETOS%202024\CONCRETOS%20CO%2031\1%20F-MM-05%20RELACI&#211;N%20DE%20MUESTRAS%20ENSAYADAS%201.xlsm" TargetMode="External"/><Relationship Id="rId1" Type="http://schemas.openxmlformats.org/officeDocument/2006/relationships/externalLinkPath" Target="file:///G:\Mi%20unidad\GEOLAB%20BUCARAMANGA\6.%20Gesti&#243;n%20T&#233;cnica\CONCRETOS%202024\CONCRETOS%20CO%2031\1%20F-MM-05%20RELACI&#211;N%20DE%20MUESTRAS%20ENSAYADAS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-4"/>
      <sheetName val="31-5"/>
      <sheetName val="31-7"/>
      <sheetName val="31-8"/>
      <sheetName val="31-9"/>
      <sheetName val="0-22"/>
      <sheetName val="PLANTILLA"/>
      <sheetName val="Hoja2"/>
      <sheetName val="31-6"/>
      <sheetName val="Hoja"/>
      <sheetName val="Hoja1"/>
    </sheetNames>
    <definedNames>
      <definedName name="CORRECCION_INSTRUMENTO_GENERAL"/>
      <definedName name="CORRECCION_INSTRUMENTO_INDIVIDUAL"/>
      <definedName name="DESPROTEGER_CELDAS_MUESTRAS"/>
      <definedName name="ELIMINAR_FILAS"/>
      <definedName name="INSERTAR_FILAS"/>
      <definedName name="INSERTAR_FILAS_MUESTRA"/>
      <definedName name="NUMERO_INFORME"/>
      <definedName name="PASAR_COMPRESION"/>
      <definedName name="PASAR_COMPRESION_INDIVIDUAL"/>
      <definedName name="VERIFICAR_DATO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1436-468D-4440-A870-964B45753EF0}">
  <sheetPr codeName="Hoja23"/>
  <dimension ref="A1:AE18"/>
  <sheetViews>
    <sheetView showGridLines="0" tabSelected="1" zoomScale="60" zoomScaleNormal="60" workbookViewId="0">
      <selection activeCell="U14" sqref="U14"/>
    </sheetView>
  </sheetViews>
  <sheetFormatPr baseColWidth="10" defaultColWidth="9.140625" defaultRowHeight="15" x14ac:dyDescent="0.25"/>
  <cols>
    <col min="1" max="1" width="11.85546875" customWidth="1"/>
    <col min="2" max="2" width="26.42578125" customWidth="1"/>
    <col min="3" max="3" width="13.42578125" customWidth="1"/>
    <col min="4" max="4" width="12.7109375" customWidth="1"/>
    <col min="5" max="5" width="9.7109375" customWidth="1"/>
    <col min="6" max="6" width="8.85546875" customWidth="1"/>
    <col min="7" max="7" width="8.85546875" style="89" customWidth="1"/>
    <col min="8" max="10" width="9.7109375" customWidth="1"/>
    <col min="11" max="11" width="16.5703125" hidden="1" customWidth="1"/>
    <col min="12" max="12" width="11.85546875" hidden="1" customWidth="1"/>
    <col min="13" max="15" width="9.7109375" customWidth="1"/>
    <col min="16" max="16" width="15.42578125" hidden="1" customWidth="1"/>
    <col min="17" max="17" width="13" customWidth="1"/>
    <col min="18" max="18" width="15.7109375" customWidth="1"/>
    <col min="19" max="19" width="15.140625" customWidth="1"/>
    <col min="20" max="20" width="16.85546875" customWidth="1"/>
    <col min="21" max="21" width="24.7109375" style="90" customWidth="1"/>
    <col min="22" max="22" width="18.42578125" style="90" customWidth="1"/>
    <col min="23" max="23" width="19.42578125" style="89" customWidth="1"/>
    <col min="27" max="27" width="10.5703125" bestFit="1" customWidth="1"/>
    <col min="28" max="28" width="9.85546875" bestFit="1" customWidth="1"/>
    <col min="29" max="29" width="10.42578125" bestFit="1" customWidth="1"/>
    <col min="30" max="30" width="10.140625" bestFit="1" customWidth="1"/>
    <col min="31" max="31" width="11.85546875" bestFit="1" customWidth="1"/>
  </cols>
  <sheetData>
    <row r="1" spans="1:31" ht="39" customHeight="1" x14ac:dyDescent="0.25">
      <c r="A1" s="1"/>
      <c r="B1" s="2"/>
      <c r="C1" s="2"/>
      <c r="D1" s="2"/>
      <c r="E1" s="2"/>
      <c r="F1" s="2"/>
      <c r="G1" s="3"/>
      <c r="H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 t="s">
        <v>1</v>
      </c>
      <c r="W1" s="7"/>
    </row>
    <row r="2" spans="1:31" ht="39" customHeight="1" x14ac:dyDescent="0.25">
      <c r="A2" s="8"/>
      <c r="B2" s="9"/>
      <c r="C2" s="9"/>
      <c r="D2" s="9"/>
      <c r="E2" s="9"/>
      <c r="F2" s="9"/>
      <c r="G2" s="10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7" t="s">
        <v>2</v>
      </c>
      <c r="W2" s="7"/>
    </row>
    <row r="3" spans="1:31" ht="39" customHeight="1" x14ac:dyDescent="0.25">
      <c r="A3" s="14"/>
      <c r="B3" s="15"/>
      <c r="C3" s="15"/>
      <c r="D3" s="15"/>
      <c r="E3" s="15"/>
      <c r="F3" s="15"/>
      <c r="G3" s="16"/>
      <c r="H3" s="17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V3" s="7" t="s">
        <v>3</v>
      </c>
      <c r="W3" s="7"/>
    </row>
    <row r="4" spans="1:31" ht="26.25" customHeight="1" x14ac:dyDescent="0.25">
      <c r="A4" s="20"/>
      <c r="B4" s="20"/>
      <c r="C4" s="20"/>
      <c r="D4" s="20"/>
      <c r="E4" s="20"/>
      <c r="F4" s="20"/>
      <c r="G4" s="21"/>
      <c r="H4" s="22" t="s">
        <v>4</v>
      </c>
      <c r="I4" s="22"/>
      <c r="J4" s="22"/>
      <c r="K4" s="22"/>
      <c r="L4" s="22"/>
      <c r="M4" s="22"/>
      <c r="N4" s="22"/>
      <c r="O4" s="22"/>
      <c r="P4" s="20"/>
      <c r="Q4" s="20"/>
      <c r="R4" s="20"/>
      <c r="S4" s="20"/>
      <c r="T4" s="20"/>
      <c r="U4" s="23"/>
      <c r="V4" s="23"/>
      <c r="W4" s="21"/>
    </row>
    <row r="5" spans="1:31" ht="26.25" customHeight="1" x14ac:dyDescent="0.25">
      <c r="A5" s="20"/>
      <c r="B5" s="24" t="s">
        <v>5</v>
      </c>
      <c r="C5" s="25"/>
      <c r="D5" s="25"/>
      <c r="E5" s="25"/>
      <c r="F5" s="25"/>
      <c r="G5" s="21"/>
      <c r="H5" s="26" t="s">
        <v>6</v>
      </c>
      <c r="I5" s="27"/>
      <c r="J5" s="28"/>
      <c r="K5" s="29"/>
      <c r="L5" s="29"/>
      <c r="M5" s="26" t="s">
        <v>7</v>
      </c>
      <c r="N5" s="27"/>
      <c r="O5" s="28"/>
      <c r="P5" s="20"/>
      <c r="Q5" s="20"/>
      <c r="R5" s="20"/>
      <c r="S5" s="20"/>
      <c r="T5" s="20"/>
      <c r="U5" s="23"/>
      <c r="V5" s="23"/>
      <c r="W5" s="21"/>
      <c r="AA5" t="s">
        <v>8</v>
      </c>
      <c r="AB5" t="s">
        <v>9</v>
      </c>
      <c r="AC5" t="s">
        <v>10</v>
      </c>
      <c r="AD5" t="s">
        <v>11</v>
      </c>
    </row>
    <row r="6" spans="1:31" ht="26.25" customHeight="1" x14ac:dyDescent="0.25">
      <c r="A6" s="20"/>
      <c r="B6" s="24" t="s">
        <v>12</v>
      </c>
      <c r="C6" s="25"/>
      <c r="D6" s="25"/>
      <c r="E6" s="25"/>
      <c r="F6" s="25"/>
      <c r="G6" s="21"/>
      <c r="H6" s="30" t="s">
        <v>13</v>
      </c>
      <c r="I6" s="30" t="s">
        <v>14</v>
      </c>
      <c r="J6" s="30" t="s">
        <v>15</v>
      </c>
      <c r="K6" s="21"/>
      <c r="L6" s="21"/>
      <c r="M6" s="30" t="s">
        <v>13</v>
      </c>
      <c r="N6" s="30" t="s">
        <v>14</v>
      </c>
      <c r="O6" s="30" t="s">
        <v>15</v>
      </c>
      <c r="P6" s="20"/>
      <c r="Q6" s="20"/>
      <c r="R6" s="20"/>
      <c r="S6" s="20"/>
      <c r="T6" s="20"/>
      <c r="U6" s="23"/>
      <c r="V6" s="23"/>
      <c r="W6" s="21"/>
      <c r="AA6" s="31">
        <v>-1.3614299999999999</v>
      </c>
      <c r="AB6" s="31">
        <v>1.07562</v>
      </c>
      <c r="AC6" s="31">
        <v>-1.8040800000000001E-4</v>
      </c>
      <c r="AD6" s="31">
        <v>9.4596299999999999E-8</v>
      </c>
      <c r="AE6">
        <f>+AA6+(AB6*R11)+(AC6*(R11*R11)+(AD6*(R11*R11*R11)))</f>
        <v>-1.3614299999999999</v>
      </c>
    </row>
    <row r="7" spans="1:31" ht="26.25" customHeight="1" x14ac:dyDescent="0.25">
      <c r="A7" s="20"/>
      <c r="B7" s="24" t="s">
        <v>16</v>
      </c>
      <c r="C7" s="25"/>
      <c r="D7" s="25"/>
      <c r="E7" s="25"/>
      <c r="F7" s="25"/>
      <c r="G7" s="21"/>
      <c r="H7" s="30">
        <v>-7.6999999999999999E-2</v>
      </c>
      <c r="I7" s="30">
        <v>-2.4500000000000001E-2</v>
      </c>
      <c r="J7" s="30">
        <v>3.0000000000000001E-3</v>
      </c>
      <c r="K7" s="21"/>
      <c r="L7" s="21"/>
      <c r="M7" s="30">
        <v>0.17</v>
      </c>
      <c r="N7" s="30">
        <v>0.1</v>
      </c>
      <c r="O7" s="30">
        <v>7.1999999999999995E-2</v>
      </c>
      <c r="P7" s="20"/>
      <c r="Q7" s="20"/>
      <c r="R7" s="20"/>
      <c r="S7" s="20"/>
      <c r="T7" s="20"/>
      <c r="U7" s="23"/>
      <c r="V7" s="23"/>
      <c r="W7" s="21"/>
    </row>
    <row r="8" spans="1:31" ht="30.75" customHeight="1" thickBot="1" x14ac:dyDescent="0.3">
      <c r="A8" s="20"/>
      <c r="B8" s="20"/>
      <c r="C8" s="20"/>
      <c r="D8" s="20"/>
      <c r="E8" s="20"/>
      <c r="F8" s="20"/>
      <c r="G8" s="21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3"/>
      <c r="V8" s="23"/>
      <c r="W8" s="32"/>
    </row>
    <row r="9" spans="1:31" s="44" customFormat="1" ht="75.75" customHeight="1" thickBot="1" x14ac:dyDescent="0.3">
      <c r="A9" s="33" t="s">
        <v>17</v>
      </c>
      <c r="B9" s="33" t="s">
        <v>18</v>
      </c>
      <c r="C9" s="33" t="s">
        <v>19</v>
      </c>
      <c r="D9" s="33" t="s">
        <v>20</v>
      </c>
      <c r="E9" s="33" t="s">
        <v>21</v>
      </c>
      <c r="F9" s="33" t="s">
        <v>22</v>
      </c>
      <c r="G9" s="34" t="s">
        <v>23</v>
      </c>
      <c r="H9" s="35" t="s">
        <v>24</v>
      </c>
      <c r="I9" s="36"/>
      <c r="J9" s="37"/>
      <c r="K9" s="38" t="s">
        <v>25</v>
      </c>
      <c r="L9" s="39" t="s">
        <v>26</v>
      </c>
      <c r="M9" s="40" t="s">
        <v>27</v>
      </c>
      <c r="N9" s="36"/>
      <c r="O9" s="37"/>
      <c r="P9" s="39" t="s">
        <v>28</v>
      </c>
      <c r="Q9" s="41" t="s">
        <v>29</v>
      </c>
      <c r="R9" s="41" t="s">
        <v>30</v>
      </c>
      <c r="S9" s="41" t="s">
        <v>31</v>
      </c>
      <c r="T9" s="42" t="s">
        <v>32</v>
      </c>
      <c r="U9" s="43" t="s">
        <v>33</v>
      </c>
      <c r="V9" s="43" t="s">
        <v>34</v>
      </c>
      <c r="W9" s="43" t="s">
        <v>35</v>
      </c>
      <c r="AE9" s="45"/>
    </row>
    <row r="10" spans="1:31" s="44" customFormat="1" ht="15.75" customHeight="1" thickBot="1" x14ac:dyDescent="0.3">
      <c r="A10" s="46"/>
      <c r="B10" s="46"/>
      <c r="C10" s="46"/>
      <c r="D10" s="46"/>
      <c r="E10" s="46"/>
      <c r="F10" s="47"/>
      <c r="G10" s="47"/>
      <c r="H10" s="48" t="s">
        <v>36</v>
      </c>
      <c r="I10" s="49" t="s">
        <v>37</v>
      </c>
      <c r="J10" s="50" t="s">
        <v>38</v>
      </c>
      <c r="K10" s="51" t="s">
        <v>39</v>
      </c>
      <c r="L10" s="52"/>
      <c r="M10" s="48" t="s">
        <v>40</v>
      </c>
      <c r="N10" s="49" t="s">
        <v>41</v>
      </c>
      <c r="O10" s="50" t="s">
        <v>42</v>
      </c>
      <c r="P10" s="51" t="s">
        <v>43</v>
      </c>
      <c r="Q10" s="53"/>
      <c r="R10" s="53"/>
      <c r="S10" s="53"/>
      <c r="T10" s="54"/>
      <c r="U10" s="55"/>
      <c r="V10" s="55"/>
      <c r="W10" s="55" t="s">
        <v>34</v>
      </c>
    </row>
    <row r="11" spans="1:31" x14ac:dyDescent="0.25">
      <c r="A11" s="56"/>
      <c r="B11" s="57"/>
      <c r="C11" s="58"/>
      <c r="D11" s="59">
        <f t="shared" ref="D11:D18" si="0">+C11+E11</f>
        <v>0</v>
      </c>
      <c r="E11" s="56"/>
      <c r="F11" s="56"/>
      <c r="G11" s="56"/>
      <c r="H11" s="60"/>
      <c r="I11" s="60"/>
      <c r="J11" s="60"/>
      <c r="K11" s="61" t="e">
        <f t="shared" ref="K11:K18" si="1">AVERAGE(H11:J11)</f>
        <v>#DIV/0!</v>
      </c>
      <c r="L11" s="62" t="e">
        <f t="shared" ref="L11:L18" si="2">IF(K11="-","-",(PI()*K11^2/4)/100)</f>
        <v>#DIV/0!</v>
      </c>
      <c r="M11" s="60"/>
      <c r="N11" s="60"/>
      <c r="O11" s="60"/>
      <c r="P11" s="61" t="e">
        <f t="shared" ref="P11:P18" si="3">AVERAGE(M11:O11)</f>
        <v>#DIV/0!</v>
      </c>
      <c r="Q11" s="60"/>
      <c r="R11" s="60"/>
      <c r="S11" s="63" t="e">
        <f t="shared" ref="S11:S18" si="4">($R11*101.9716/L11)/10</f>
        <v>#DIV/0!</v>
      </c>
      <c r="T11" s="64" t="e">
        <f>+S11/G11</f>
        <v>#DIV/0!</v>
      </c>
      <c r="U11" s="57"/>
      <c r="V11" s="65" t="str">
        <f t="shared" ref="V11:V18" ca="1" si="5">+IF(D11=TODAY(),IF(D11="NA","UN CILINDRO - FALLAR HOY ","FALLAR HOY"),"")</f>
        <v/>
      </c>
      <c r="W11" s="66"/>
    </row>
    <row r="12" spans="1:31" x14ac:dyDescent="0.25">
      <c r="A12" s="67">
        <f t="shared" ref="A12:C13" si="6">+A11</f>
        <v>0</v>
      </c>
      <c r="B12" s="68">
        <f t="shared" si="6"/>
        <v>0</v>
      </c>
      <c r="C12" s="69">
        <f t="shared" si="6"/>
        <v>0</v>
      </c>
      <c r="D12" s="69">
        <f t="shared" si="0"/>
        <v>0</v>
      </c>
      <c r="E12" s="30"/>
      <c r="F12" s="70">
        <f t="shared" ref="F12:G18" si="7">+F11</f>
        <v>0</v>
      </c>
      <c r="G12" s="70">
        <f t="shared" si="7"/>
        <v>0</v>
      </c>
      <c r="H12" s="71"/>
      <c r="I12" s="71"/>
      <c r="J12" s="71"/>
      <c r="K12" s="61" t="e">
        <f t="shared" si="1"/>
        <v>#DIV/0!</v>
      </c>
      <c r="L12" s="62" t="e">
        <f t="shared" si="2"/>
        <v>#DIV/0!</v>
      </c>
      <c r="M12" s="71"/>
      <c r="N12" s="71"/>
      <c r="O12" s="71"/>
      <c r="P12" s="61" t="e">
        <f t="shared" si="3"/>
        <v>#DIV/0!</v>
      </c>
      <c r="Q12" s="71"/>
      <c r="R12" s="71"/>
      <c r="S12" s="62" t="e">
        <f t="shared" si="4"/>
        <v>#DIV/0!</v>
      </c>
      <c r="T12" s="72" t="e">
        <f t="shared" ref="T12:T18" si="8">+S12/G12</f>
        <v>#DIV/0!</v>
      </c>
      <c r="U12" s="73"/>
      <c r="V12" s="74" t="str">
        <f t="shared" ca="1" si="5"/>
        <v/>
      </c>
      <c r="W12" s="75"/>
    </row>
    <row r="13" spans="1:31" x14ac:dyDescent="0.25">
      <c r="A13" s="70">
        <f t="shared" si="6"/>
        <v>0</v>
      </c>
      <c r="B13" s="76">
        <f t="shared" si="6"/>
        <v>0</v>
      </c>
      <c r="C13" s="77">
        <f t="shared" si="6"/>
        <v>0</v>
      </c>
      <c r="D13" s="77">
        <f t="shared" si="0"/>
        <v>0</v>
      </c>
      <c r="E13" s="30"/>
      <c r="F13" s="70">
        <f t="shared" si="7"/>
        <v>0</v>
      </c>
      <c r="G13" s="70">
        <f t="shared" si="7"/>
        <v>0</v>
      </c>
      <c r="H13" s="71"/>
      <c r="I13" s="71"/>
      <c r="J13" s="71"/>
      <c r="K13" s="61" t="e">
        <f t="shared" si="1"/>
        <v>#DIV/0!</v>
      </c>
      <c r="L13" s="62" t="e">
        <f t="shared" si="2"/>
        <v>#DIV/0!</v>
      </c>
      <c r="M13" s="71"/>
      <c r="N13" s="71"/>
      <c r="O13" s="71"/>
      <c r="P13" s="61" t="e">
        <f t="shared" si="3"/>
        <v>#DIV/0!</v>
      </c>
      <c r="Q13" s="71"/>
      <c r="R13" s="71"/>
      <c r="S13" s="62" t="e">
        <f t="shared" si="4"/>
        <v>#DIV/0!</v>
      </c>
      <c r="T13" s="72" t="e">
        <f t="shared" si="8"/>
        <v>#DIV/0!</v>
      </c>
      <c r="U13" s="73"/>
      <c r="V13" s="74" t="str">
        <f t="shared" ca="1" si="5"/>
        <v/>
      </c>
      <c r="W13" s="75"/>
    </row>
    <row r="14" spans="1:31" x14ac:dyDescent="0.25">
      <c r="A14" s="70">
        <f>+A11</f>
        <v>0</v>
      </c>
      <c r="B14" s="76">
        <f>+B11</f>
        <v>0</v>
      </c>
      <c r="C14" s="77">
        <f>+C11</f>
        <v>0</v>
      </c>
      <c r="D14" s="77">
        <f t="shared" si="0"/>
        <v>0</v>
      </c>
      <c r="E14" s="30"/>
      <c r="F14" s="70">
        <f t="shared" si="7"/>
        <v>0</v>
      </c>
      <c r="G14" s="70">
        <f t="shared" si="7"/>
        <v>0</v>
      </c>
      <c r="H14" s="71"/>
      <c r="I14" s="71"/>
      <c r="J14" s="71"/>
      <c r="K14" s="61" t="e">
        <f t="shared" si="1"/>
        <v>#DIV/0!</v>
      </c>
      <c r="L14" s="62" t="e">
        <f t="shared" si="2"/>
        <v>#DIV/0!</v>
      </c>
      <c r="M14" s="71"/>
      <c r="N14" s="71"/>
      <c r="O14" s="71"/>
      <c r="P14" s="61" t="e">
        <f t="shared" si="3"/>
        <v>#DIV/0!</v>
      </c>
      <c r="Q14" s="71"/>
      <c r="R14" s="71"/>
      <c r="S14" s="62" t="e">
        <f t="shared" si="4"/>
        <v>#DIV/0!</v>
      </c>
      <c r="T14" s="72" t="e">
        <f t="shared" si="8"/>
        <v>#DIV/0!</v>
      </c>
      <c r="U14" s="73"/>
      <c r="V14" s="74" t="str">
        <f t="shared" ca="1" si="5"/>
        <v/>
      </c>
      <c r="W14" s="75"/>
    </row>
    <row r="15" spans="1:31" x14ac:dyDescent="0.25">
      <c r="A15" s="70">
        <f t="shared" ref="A15:C18" si="9">+A14</f>
        <v>0</v>
      </c>
      <c r="B15" s="76">
        <f t="shared" si="9"/>
        <v>0</v>
      </c>
      <c r="C15" s="77">
        <f t="shared" si="9"/>
        <v>0</v>
      </c>
      <c r="D15" s="77">
        <f t="shared" si="0"/>
        <v>0</v>
      </c>
      <c r="E15" s="30"/>
      <c r="F15" s="70">
        <f t="shared" si="7"/>
        <v>0</v>
      </c>
      <c r="G15" s="70">
        <f t="shared" si="7"/>
        <v>0</v>
      </c>
      <c r="H15" s="71"/>
      <c r="I15" s="71"/>
      <c r="J15" s="71"/>
      <c r="K15" s="61" t="e">
        <f t="shared" si="1"/>
        <v>#DIV/0!</v>
      </c>
      <c r="L15" s="62" t="e">
        <f t="shared" si="2"/>
        <v>#DIV/0!</v>
      </c>
      <c r="M15" s="71"/>
      <c r="N15" s="71"/>
      <c r="O15" s="71"/>
      <c r="P15" s="61" t="e">
        <f t="shared" si="3"/>
        <v>#DIV/0!</v>
      </c>
      <c r="Q15" s="71"/>
      <c r="R15" s="71"/>
      <c r="S15" s="62" t="e">
        <f t="shared" si="4"/>
        <v>#DIV/0!</v>
      </c>
      <c r="T15" s="72" t="e">
        <f t="shared" si="8"/>
        <v>#DIV/0!</v>
      </c>
      <c r="U15" s="73"/>
      <c r="V15" s="74" t="str">
        <f t="shared" ca="1" si="5"/>
        <v/>
      </c>
      <c r="W15" s="75"/>
    </row>
    <row r="16" spans="1:31" x14ac:dyDescent="0.25">
      <c r="A16" s="70">
        <f t="shared" si="9"/>
        <v>0</v>
      </c>
      <c r="B16" s="76">
        <f t="shared" si="9"/>
        <v>0</v>
      </c>
      <c r="C16" s="77">
        <f t="shared" si="9"/>
        <v>0</v>
      </c>
      <c r="D16" s="77">
        <f t="shared" si="0"/>
        <v>0</v>
      </c>
      <c r="E16" s="30"/>
      <c r="F16" s="70">
        <f t="shared" si="7"/>
        <v>0</v>
      </c>
      <c r="G16" s="70">
        <f t="shared" si="7"/>
        <v>0</v>
      </c>
      <c r="H16" s="71"/>
      <c r="I16" s="71"/>
      <c r="J16" s="71"/>
      <c r="K16" s="61" t="e">
        <f t="shared" si="1"/>
        <v>#DIV/0!</v>
      </c>
      <c r="L16" s="62" t="e">
        <f t="shared" si="2"/>
        <v>#DIV/0!</v>
      </c>
      <c r="M16" s="71"/>
      <c r="N16" s="71"/>
      <c r="O16" s="71"/>
      <c r="P16" s="61" t="e">
        <f t="shared" si="3"/>
        <v>#DIV/0!</v>
      </c>
      <c r="Q16" s="71"/>
      <c r="R16" s="71"/>
      <c r="S16" s="62" t="e">
        <f t="shared" si="4"/>
        <v>#DIV/0!</v>
      </c>
      <c r="T16" s="72" t="e">
        <f t="shared" si="8"/>
        <v>#DIV/0!</v>
      </c>
      <c r="U16" s="73"/>
      <c r="V16" s="74" t="str">
        <f t="shared" ca="1" si="5"/>
        <v/>
      </c>
      <c r="W16" s="75"/>
    </row>
    <row r="17" spans="1:23" x14ac:dyDescent="0.25">
      <c r="A17" s="70">
        <f t="shared" si="9"/>
        <v>0</v>
      </c>
      <c r="B17" s="76">
        <f t="shared" si="9"/>
        <v>0</v>
      </c>
      <c r="C17" s="77">
        <f t="shared" si="9"/>
        <v>0</v>
      </c>
      <c r="D17" s="77">
        <f t="shared" si="0"/>
        <v>0</v>
      </c>
      <c r="E17" s="30"/>
      <c r="F17" s="70">
        <f t="shared" si="7"/>
        <v>0</v>
      </c>
      <c r="G17" s="70">
        <f t="shared" si="7"/>
        <v>0</v>
      </c>
      <c r="H17" s="71"/>
      <c r="I17" s="71"/>
      <c r="J17" s="71"/>
      <c r="K17" s="61" t="e">
        <f t="shared" si="1"/>
        <v>#DIV/0!</v>
      </c>
      <c r="L17" s="62" t="e">
        <f t="shared" si="2"/>
        <v>#DIV/0!</v>
      </c>
      <c r="M17" s="71"/>
      <c r="N17" s="71"/>
      <c r="O17" s="71"/>
      <c r="P17" s="61" t="e">
        <f t="shared" si="3"/>
        <v>#DIV/0!</v>
      </c>
      <c r="Q17" s="71"/>
      <c r="R17" s="71"/>
      <c r="S17" s="62" t="e">
        <f t="shared" si="4"/>
        <v>#DIV/0!</v>
      </c>
      <c r="T17" s="72" t="e">
        <f t="shared" si="8"/>
        <v>#DIV/0!</v>
      </c>
      <c r="U17" s="73"/>
      <c r="V17" s="74" t="str">
        <f t="shared" ca="1" si="5"/>
        <v/>
      </c>
      <c r="W17" s="75"/>
    </row>
    <row r="18" spans="1:23" ht="15.75" thickBot="1" x14ac:dyDescent="0.3">
      <c r="A18" s="78">
        <f t="shared" si="9"/>
        <v>0</v>
      </c>
      <c r="B18" s="79">
        <f t="shared" si="9"/>
        <v>0</v>
      </c>
      <c r="C18" s="80">
        <f t="shared" si="9"/>
        <v>0</v>
      </c>
      <c r="D18" s="80">
        <f t="shared" si="0"/>
        <v>0</v>
      </c>
      <c r="E18" s="81"/>
      <c r="F18" s="78">
        <f t="shared" si="7"/>
        <v>0</v>
      </c>
      <c r="G18" s="78">
        <f t="shared" si="7"/>
        <v>0</v>
      </c>
      <c r="H18" s="82"/>
      <c r="I18" s="82"/>
      <c r="J18" s="82"/>
      <c r="K18" s="83" t="e">
        <f t="shared" si="1"/>
        <v>#DIV/0!</v>
      </c>
      <c r="L18" s="84" t="e">
        <f t="shared" si="2"/>
        <v>#DIV/0!</v>
      </c>
      <c r="M18" s="82"/>
      <c r="N18" s="82"/>
      <c r="O18" s="82"/>
      <c r="P18" s="83" t="e">
        <f t="shared" si="3"/>
        <v>#DIV/0!</v>
      </c>
      <c r="Q18" s="82"/>
      <c r="R18" s="82"/>
      <c r="S18" s="84" t="e">
        <f t="shared" si="4"/>
        <v>#DIV/0!</v>
      </c>
      <c r="T18" s="85" t="e">
        <f t="shared" si="8"/>
        <v>#DIV/0!</v>
      </c>
      <c r="U18" s="86"/>
      <c r="V18" s="87" t="str">
        <f t="shared" ca="1" si="5"/>
        <v/>
      </c>
      <c r="W18" s="88"/>
    </row>
  </sheetData>
  <sheetProtection autoFilter="0"/>
  <mergeCells count="27">
    <mergeCell ref="S9:S10"/>
    <mergeCell ref="T9:T10"/>
    <mergeCell ref="U9:U10"/>
    <mergeCell ref="V9:V10"/>
    <mergeCell ref="W9:W10"/>
    <mergeCell ref="F9:F10"/>
    <mergeCell ref="G9:G10"/>
    <mergeCell ref="H9:J9"/>
    <mergeCell ref="M9:O9"/>
    <mergeCell ref="Q9:Q10"/>
    <mergeCell ref="R9:R10"/>
    <mergeCell ref="C5:F5"/>
    <mergeCell ref="H5:J5"/>
    <mergeCell ref="M5:O5"/>
    <mergeCell ref="C6:F6"/>
    <mergeCell ref="C7:F7"/>
    <mergeCell ref="A9:A10"/>
    <mergeCell ref="B9:B10"/>
    <mergeCell ref="C9:C10"/>
    <mergeCell ref="D9:D10"/>
    <mergeCell ref="E9:E10"/>
    <mergeCell ref="A1:G3"/>
    <mergeCell ref="H1:U3"/>
    <mergeCell ref="V1:W1"/>
    <mergeCell ref="V2:W2"/>
    <mergeCell ref="V3:W3"/>
    <mergeCell ref="H4:O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PASAR_COMPRESION">
                <anchor moveWithCells="1" sizeWithCells="1">
                  <from>
                    <xdr:col>21</xdr:col>
                    <xdr:colOff>952500</xdr:colOff>
                    <xdr:row>5</xdr:row>
                    <xdr:rowOff>314325</xdr:rowOff>
                  </from>
                  <to>
                    <xdr:col>22</xdr:col>
                    <xdr:colOff>1257300</xdr:colOff>
                    <xdr:row>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PASAR_COMPRESION_INDIVIDUAL">
                <anchor moveWithCells="1" sizeWithCells="1">
                  <from>
                    <xdr:col>20</xdr:col>
                    <xdr:colOff>962025</xdr:colOff>
                    <xdr:row>5</xdr:row>
                    <xdr:rowOff>314325</xdr:rowOff>
                  </from>
                  <to>
                    <xdr:col>21</xdr:col>
                    <xdr:colOff>857250</xdr:colOff>
                    <xdr:row>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5">
              <controlPr defaultSize="0" print="0" autoFill="0" autoPict="0" macro="[1]!CORRECCION_INSTRUMENTO_GENERAL">
                <anchor moveWithCells="1" sizeWithCells="1">
                  <from>
                    <xdr:col>16</xdr:col>
                    <xdr:colOff>95250</xdr:colOff>
                    <xdr:row>4</xdr:row>
                    <xdr:rowOff>57150</xdr:rowOff>
                  </from>
                  <to>
                    <xdr:col>17</xdr:col>
                    <xdr:colOff>771525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6">
              <controlPr defaultSize="0" print="0" autoFill="0" autoPict="0" macro="[1]!CORRECCION_INSTRUMENTO_INDIVIDUAL">
                <anchor moveWithCells="1" sizeWithCells="1">
                  <from>
                    <xdr:col>16</xdr:col>
                    <xdr:colOff>95250</xdr:colOff>
                    <xdr:row>6</xdr:row>
                    <xdr:rowOff>9525</xdr:rowOff>
                  </from>
                  <to>
                    <xdr:col>17</xdr:col>
                    <xdr:colOff>771525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7">
              <controlPr defaultSize="0" print="0" autoFill="0" autoPict="0" macro="[1]!VERIFICAR_DATOS">
                <anchor moveWithCells="1" sizeWithCells="1">
                  <from>
                    <xdr:col>17</xdr:col>
                    <xdr:colOff>885825</xdr:colOff>
                    <xdr:row>6</xdr:row>
                    <xdr:rowOff>19050</xdr:rowOff>
                  </from>
                  <to>
                    <xdr:col>19</xdr:col>
                    <xdr:colOff>371475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 macro="[1]!INSERTAR_FILAS_MUESTRA">
                <anchor moveWithCells="1" sizeWithCells="1">
                  <from>
                    <xdr:col>19</xdr:col>
                    <xdr:colOff>457200</xdr:colOff>
                    <xdr:row>6</xdr:row>
                    <xdr:rowOff>9525</xdr:rowOff>
                  </from>
                  <to>
                    <xdr:col>20</xdr:col>
                    <xdr:colOff>876300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 macro="[1]!INSERTAR_FILAS">
                <anchor moveWithCells="1" sizeWithCells="1">
                  <from>
                    <xdr:col>19</xdr:col>
                    <xdr:colOff>457200</xdr:colOff>
                    <xdr:row>4</xdr:row>
                    <xdr:rowOff>47625</xdr:rowOff>
                  </from>
                  <to>
                    <xdr:col>20</xdr:col>
                    <xdr:colOff>876300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 macro="[1]!ELIMINAR_FILAS">
                <anchor moveWithCells="1" sizeWithCells="1">
                  <from>
                    <xdr:col>20</xdr:col>
                    <xdr:colOff>952500</xdr:colOff>
                    <xdr:row>4</xdr:row>
                    <xdr:rowOff>47625</xdr:rowOff>
                  </from>
                  <to>
                    <xdr:col>21</xdr:col>
                    <xdr:colOff>828675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 macro="[1]!DESPROTEGER_CELDAS_MUESTRAS">
                <anchor moveWithCells="1" sizeWithCells="1">
                  <from>
                    <xdr:col>21</xdr:col>
                    <xdr:colOff>971550</xdr:colOff>
                    <xdr:row>4</xdr:row>
                    <xdr:rowOff>28575</xdr:rowOff>
                  </from>
                  <to>
                    <xdr:col>22</xdr:col>
                    <xdr:colOff>1247775</xdr:colOff>
                    <xdr:row>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 macro="[1]!NUMERO_INFORME">
                <anchor moveWithCells="1" sizeWithCells="1">
                  <from>
                    <xdr:col>17</xdr:col>
                    <xdr:colOff>866775</xdr:colOff>
                    <xdr:row>4</xdr:row>
                    <xdr:rowOff>66675</xdr:rowOff>
                  </from>
                  <to>
                    <xdr:col>19</xdr:col>
                    <xdr:colOff>361950</xdr:colOff>
                    <xdr:row>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2</dc:creator>
  <cp:lastModifiedBy>Usuario 2</cp:lastModifiedBy>
  <dcterms:created xsi:type="dcterms:W3CDTF">2025-12-02T21:28:41Z</dcterms:created>
  <dcterms:modified xsi:type="dcterms:W3CDTF">2025-12-02T21:29:31Z</dcterms:modified>
</cp:coreProperties>
</file>