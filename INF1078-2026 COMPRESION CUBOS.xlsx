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Mi unidad\GEOLAB BUCARAMANGA\6. Gestión Técnica\CONCRETOS 2026\CLIENTES\57-12\"/>
    </mc:Choice>
  </mc:AlternateContent>
  <xr:revisionPtr revIDLastSave="0" documentId="13_ncr:1_{F55D50A2-2A73-4119-9D2A-20C12FBA8A9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UBOS " sheetId="2" r:id="rId1"/>
    <sheet name="CUBOS  (2)" sheetId="3" r:id="rId2"/>
  </sheets>
  <definedNames>
    <definedName name="\0">#REF!</definedName>
    <definedName name="\d">#REF!</definedName>
    <definedName name="\g">#REF!</definedName>
    <definedName name="\m">#REF!</definedName>
    <definedName name="\n">#REF!</definedName>
    <definedName name="\p">#REF!</definedName>
    <definedName name="\w">#REF!</definedName>
    <definedName name="_K1">#REF!</definedName>
    <definedName name="_L1">#REF!</definedName>
    <definedName name="_L2">#REF!</definedName>
    <definedName name="A_IMPRESIÓN_IM">#REF!</definedName>
    <definedName name="_xlnm.Print_Area" localSheetId="0">'CUBOS '!$A$1:$V$40</definedName>
    <definedName name="_xlnm.Print_Area" localSheetId="1">'CUBOS  (2)'!$A$1:$V$40</definedName>
    <definedName name="CUA">#REF!</definedName>
    <definedName name="CUADRO">#REF!</definedName>
    <definedName name="D">#REF!</definedName>
    <definedName name="DLKFK">#REF!</definedName>
    <definedName name="GRA">#REF!</definedName>
    <definedName name="GRAF">#REF!</definedName>
    <definedName name="K">#REF!</definedName>
    <definedName name="KIU">#REF!</definedName>
    <definedName name="KJUI">#REF!</definedName>
    <definedName name="KOIUIYUU">#REF!</definedName>
    <definedName name="KOP">#REF!</definedName>
    <definedName name="NLL">"Rectángulo 9"</definedName>
    <definedName name="P">#REF!</definedName>
    <definedName name="PR">#REF!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1" i="2" l="1"/>
  <c r="Q10" i="2"/>
  <c r="O11" i="2"/>
  <c r="O12" i="2"/>
  <c r="O13" i="2"/>
  <c r="Q12" i="2"/>
  <c r="L11" i="2"/>
  <c r="L10" i="2"/>
  <c r="L15" i="2"/>
  <c r="L14" i="2"/>
  <c r="K14" i="2"/>
  <c r="C13" i="2"/>
  <c r="F13" i="2" s="1"/>
  <c r="Q24" i="3"/>
  <c r="K24" i="3"/>
  <c r="L24" i="3"/>
  <c r="O24" i="3"/>
  <c r="N24" i="3"/>
  <c r="C23" i="3"/>
  <c r="C24" i="3" s="1"/>
  <c r="F24" i="3" s="1"/>
  <c r="Q23" i="3"/>
  <c r="K23" i="3"/>
  <c r="L23" i="3"/>
  <c r="O23" i="3"/>
  <c r="N23" i="3"/>
  <c r="Q22" i="3"/>
  <c r="K22" i="3"/>
  <c r="L22" i="3"/>
  <c r="O22" i="3"/>
  <c r="N22" i="3"/>
  <c r="F22" i="3"/>
  <c r="Q21" i="3"/>
  <c r="K21" i="3"/>
  <c r="L21" i="3"/>
  <c r="O21" i="3"/>
  <c r="N21" i="3"/>
  <c r="C20" i="3"/>
  <c r="C21" i="3" s="1"/>
  <c r="F21" i="3" s="1"/>
  <c r="Q20" i="3"/>
  <c r="K20" i="3"/>
  <c r="L20" i="3"/>
  <c r="O20" i="3"/>
  <c r="N20" i="3"/>
  <c r="Q19" i="3"/>
  <c r="K19" i="3"/>
  <c r="L19" i="3"/>
  <c r="O19" i="3"/>
  <c r="N19" i="3"/>
  <c r="F19" i="3"/>
  <c r="Q18" i="3"/>
  <c r="K18" i="3"/>
  <c r="L18" i="3"/>
  <c r="O18" i="3"/>
  <c r="N18" i="3"/>
  <c r="F18" i="3"/>
  <c r="Q17" i="3"/>
  <c r="K17" i="3"/>
  <c r="L17" i="3"/>
  <c r="O17" i="3"/>
  <c r="N17" i="3"/>
  <c r="F17" i="3"/>
  <c r="Q16" i="3"/>
  <c r="K16" i="3"/>
  <c r="L16" i="3"/>
  <c r="O16" i="3"/>
  <c r="N16" i="3"/>
  <c r="F16" i="3"/>
  <c r="Q15" i="3"/>
  <c r="K15" i="3"/>
  <c r="L15" i="3"/>
  <c r="O15" i="3"/>
  <c r="N15" i="3"/>
  <c r="C14" i="3"/>
  <c r="C15" i="3" s="1"/>
  <c r="F15" i="3" s="1"/>
  <c r="Q14" i="3"/>
  <c r="K14" i="3"/>
  <c r="L14" i="3"/>
  <c r="O14" i="3"/>
  <c r="N14" i="3"/>
  <c r="Q13" i="3"/>
  <c r="K13" i="3"/>
  <c r="L13" i="3"/>
  <c r="O13" i="3"/>
  <c r="N13" i="3"/>
  <c r="F13" i="3"/>
  <c r="Q12" i="3"/>
  <c r="K12" i="3"/>
  <c r="L12" i="3"/>
  <c r="O12" i="3"/>
  <c r="N12" i="3"/>
  <c r="C11" i="3"/>
  <c r="C12" i="3" s="1"/>
  <c r="F12" i="3" s="1"/>
  <c r="Q11" i="3"/>
  <c r="K11" i="3"/>
  <c r="L11" i="3"/>
  <c r="O11" i="3"/>
  <c r="N11" i="3"/>
  <c r="Q10" i="3"/>
  <c r="K10" i="3"/>
  <c r="L10" i="3"/>
  <c r="O10" i="3"/>
  <c r="N10" i="3"/>
  <c r="F10" i="3"/>
  <c r="Q16" i="2"/>
  <c r="Q17" i="2"/>
  <c r="Q18" i="2"/>
  <c r="O16" i="2"/>
  <c r="O17" i="2"/>
  <c r="O18" i="2"/>
  <c r="N16" i="2"/>
  <c r="N17" i="2"/>
  <c r="N18" i="2"/>
  <c r="L16" i="2"/>
  <c r="L17" i="2"/>
  <c r="L18" i="2"/>
  <c r="K16" i="2"/>
  <c r="K17" i="2"/>
  <c r="K18" i="2"/>
  <c r="F18" i="2"/>
  <c r="F17" i="2"/>
  <c r="F16" i="2"/>
  <c r="C15" i="2"/>
  <c r="F15" i="2" s="1"/>
  <c r="Q24" i="2"/>
  <c r="O24" i="2"/>
  <c r="N24" i="2"/>
  <c r="L24" i="2"/>
  <c r="K24" i="2"/>
  <c r="Q23" i="2"/>
  <c r="O23" i="2"/>
  <c r="N23" i="2"/>
  <c r="L23" i="2"/>
  <c r="K23" i="2"/>
  <c r="C23" i="2"/>
  <c r="F23" i="2" s="1"/>
  <c r="Q22" i="2"/>
  <c r="O22" i="2"/>
  <c r="N22" i="2"/>
  <c r="L22" i="2"/>
  <c r="K22" i="2"/>
  <c r="F22" i="2"/>
  <c r="Q21" i="2"/>
  <c r="O21" i="2"/>
  <c r="N21" i="2"/>
  <c r="L21" i="2"/>
  <c r="K21" i="2"/>
  <c r="Q20" i="2"/>
  <c r="O20" i="2"/>
  <c r="N20" i="2"/>
  <c r="L20" i="2"/>
  <c r="K20" i="2"/>
  <c r="C20" i="2"/>
  <c r="C21" i="2" s="1"/>
  <c r="F21" i="2" s="1"/>
  <c r="Q19" i="2"/>
  <c r="O19" i="2"/>
  <c r="N19" i="2"/>
  <c r="L19" i="2"/>
  <c r="K19" i="2"/>
  <c r="F19" i="2"/>
  <c r="Q15" i="2"/>
  <c r="O15" i="2"/>
  <c r="N15" i="2"/>
  <c r="K15" i="2"/>
  <c r="Q14" i="2"/>
  <c r="O14" i="2"/>
  <c r="N14" i="2"/>
  <c r="Q13" i="2"/>
  <c r="N13" i="2"/>
  <c r="L13" i="2"/>
  <c r="K13" i="2"/>
  <c r="N12" i="2"/>
  <c r="L12" i="2"/>
  <c r="K12" i="2"/>
  <c r="Q11" i="2"/>
  <c r="N11" i="2"/>
  <c r="K11" i="2"/>
  <c r="F12" i="2"/>
  <c r="O10" i="2"/>
  <c r="N10" i="2"/>
  <c r="K10" i="2"/>
  <c r="F10" i="2"/>
  <c r="F14" i="2"/>
  <c r="M17" i="2" l="1"/>
  <c r="M21" i="2"/>
  <c r="P21" i="2" s="1"/>
  <c r="M11" i="2"/>
  <c r="R11" i="2" s="1"/>
  <c r="M10" i="3"/>
  <c r="R10" i="3" s="1"/>
  <c r="M24" i="3"/>
  <c r="R24" i="3" s="1"/>
  <c r="M19" i="2"/>
  <c r="R19" i="2" s="1"/>
  <c r="M24" i="2"/>
  <c r="P24" i="2" s="1"/>
  <c r="M18" i="2"/>
  <c r="P18" i="2" s="1"/>
  <c r="M11" i="3"/>
  <c r="M15" i="3"/>
  <c r="M14" i="2"/>
  <c r="R14" i="2" s="1"/>
  <c r="S14" i="2" s="1"/>
  <c r="T14" i="2" s="1"/>
  <c r="M16" i="2"/>
  <c r="R16" i="2" s="1"/>
  <c r="R11" i="3"/>
  <c r="T11" i="3" s="1"/>
  <c r="M14" i="3"/>
  <c r="R14" i="3" s="1"/>
  <c r="T14" i="3" s="1"/>
  <c r="M22" i="2"/>
  <c r="P22" i="2" s="1"/>
  <c r="P17" i="2"/>
  <c r="F11" i="3"/>
  <c r="M21" i="3"/>
  <c r="R21" i="3" s="1"/>
  <c r="T21" i="3" s="1"/>
  <c r="F23" i="3"/>
  <c r="M23" i="3"/>
  <c r="R23" i="3" s="1"/>
  <c r="M13" i="3"/>
  <c r="P13" i="3" s="1"/>
  <c r="M17" i="3"/>
  <c r="P17" i="3" s="1"/>
  <c r="M19" i="3"/>
  <c r="P19" i="3" s="1"/>
  <c r="M20" i="3"/>
  <c r="R20" i="3" s="1"/>
  <c r="T20" i="3" s="1"/>
  <c r="R21" i="2"/>
  <c r="S21" i="2" s="1"/>
  <c r="T21" i="2" s="1"/>
  <c r="R15" i="3"/>
  <c r="T15" i="3" s="1"/>
  <c r="F20" i="3"/>
  <c r="C24" i="2"/>
  <c r="F24" i="2" s="1"/>
  <c r="M22" i="3"/>
  <c r="R22" i="3" s="1"/>
  <c r="S22" i="3" s="1"/>
  <c r="M18" i="3"/>
  <c r="P18" i="3" s="1"/>
  <c r="M20" i="2"/>
  <c r="R20" i="2" s="1"/>
  <c r="S20" i="2" s="1"/>
  <c r="T20" i="2" s="1"/>
  <c r="M13" i="2"/>
  <c r="R13" i="2" s="1"/>
  <c r="M12" i="2"/>
  <c r="R12" i="2" s="1"/>
  <c r="M15" i="2"/>
  <c r="R15" i="2" s="1"/>
  <c r="M12" i="3"/>
  <c r="P12" i="3" s="1"/>
  <c r="M10" i="2"/>
  <c r="P10" i="2" s="1"/>
  <c r="M23" i="2"/>
  <c r="P23" i="2" s="1"/>
  <c r="P15" i="3"/>
  <c r="P11" i="3"/>
  <c r="F14" i="3"/>
  <c r="M16" i="3"/>
  <c r="R16" i="3" s="1"/>
  <c r="S16" i="3" s="1"/>
  <c r="P24" i="3"/>
  <c r="S24" i="3"/>
  <c r="T24" i="3"/>
  <c r="R17" i="2"/>
  <c r="S14" i="3"/>
  <c r="P23" i="3"/>
  <c r="F20" i="2"/>
  <c r="S11" i="3"/>
  <c r="F11" i="2"/>
  <c r="S20" i="3" l="1"/>
  <c r="P19" i="2"/>
  <c r="R18" i="2"/>
  <c r="R19" i="3"/>
  <c r="T19" i="3" s="1"/>
  <c r="P10" i="3"/>
  <c r="R24" i="2"/>
  <c r="S24" i="2" s="1"/>
  <c r="T24" i="2" s="1"/>
  <c r="P14" i="2"/>
  <c r="P21" i="3"/>
  <c r="T16" i="3"/>
  <c r="T22" i="3"/>
  <c r="R12" i="3"/>
  <c r="S12" i="3" s="1"/>
  <c r="P14" i="3"/>
  <c r="S21" i="3"/>
  <c r="S15" i="3"/>
  <c r="S18" i="2"/>
  <c r="T18" i="2" s="1"/>
  <c r="R18" i="3"/>
  <c r="S18" i="3" s="1"/>
  <c r="R22" i="2"/>
  <c r="P16" i="2"/>
  <c r="R17" i="3"/>
  <c r="S17" i="3" s="1"/>
  <c r="S16" i="2"/>
  <c r="T16" i="2" s="1"/>
  <c r="P22" i="3"/>
  <c r="S19" i="2"/>
  <c r="T19" i="2" s="1"/>
  <c r="P15" i="2"/>
  <c r="R13" i="3"/>
  <c r="T13" i="3" s="1"/>
  <c r="P20" i="3"/>
  <c r="P20" i="2"/>
  <c r="S13" i="2"/>
  <c r="T13" i="2" s="1"/>
  <c r="P12" i="2"/>
  <c r="P13" i="2"/>
  <c r="R10" i="2"/>
  <c r="S10" i="2" s="1"/>
  <c r="T10" i="2" s="1"/>
  <c r="R23" i="2"/>
  <c r="S23" i="2" s="1"/>
  <c r="T23" i="2" s="1"/>
  <c r="P16" i="3"/>
  <c r="S23" i="3"/>
  <c r="T23" i="3"/>
  <c r="S17" i="2"/>
  <c r="T17" i="2" s="1"/>
  <c r="S15" i="2"/>
  <c r="T15" i="2" s="1"/>
  <c r="S10" i="3"/>
  <c r="T10" i="3"/>
  <c r="P11" i="2"/>
  <c r="S12" i="2"/>
  <c r="T12" i="2" s="1"/>
  <c r="S11" i="2"/>
  <c r="T11" i="2" s="1"/>
  <c r="S19" i="3" l="1"/>
  <c r="T12" i="3"/>
  <c r="T17" i="3"/>
  <c r="T18" i="3"/>
  <c r="S22" i="2"/>
  <c r="T22" i="2" s="1"/>
  <c r="S13" i="3"/>
</calcChain>
</file>

<file path=xl/sharedStrings.xml><?xml version="1.0" encoding="utf-8"?>
<sst xmlns="http://schemas.openxmlformats.org/spreadsheetml/2006/main" count="221" uniqueCount="81">
  <si>
    <t>Fecha de Ensayo</t>
  </si>
  <si>
    <t>Ancho</t>
  </si>
  <si>
    <t>largo</t>
  </si>
  <si>
    <t>Area</t>
  </si>
  <si>
    <t>Altura</t>
  </si>
  <si>
    <t>Peso</t>
  </si>
  <si>
    <t>Densidad</t>
  </si>
  <si>
    <t>Carga Max (kN)</t>
  </si>
  <si>
    <t>Esfuerzo</t>
  </si>
  <si>
    <t xml:space="preserve">Forma de la </t>
  </si>
  <si>
    <t>No.</t>
  </si>
  <si>
    <t>Año</t>
  </si>
  <si>
    <t>Mes</t>
  </si>
  <si>
    <t>Día</t>
  </si>
  <si>
    <t>Días</t>
  </si>
  <si>
    <t>cm</t>
  </si>
  <si>
    <t>cm²</t>
  </si>
  <si>
    <t>g</t>
  </si>
  <si>
    <t>MPa</t>
  </si>
  <si>
    <t>muestra</t>
  </si>
  <si>
    <t xml:space="preserve">OBSERVACIONES:  </t>
  </si>
  <si>
    <t>LABORATORIO</t>
  </si>
  <si>
    <t>RECIBIDO</t>
  </si>
  <si>
    <t>FIRMA :</t>
  </si>
  <si>
    <t>CUBOS</t>
  </si>
  <si>
    <t>MUESTRA No. 23</t>
  </si>
  <si>
    <t>LABORATORIO DE INGENENIERIA CIVIL- Carrera 23 N° 63c -58 Tel 8003785</t>
  </si>
  <si>
    <t>C.C.</t>
  </si>
  <si>
    <t xml:space="preserve">N° Informe: </t>
  </si>
  <si>
    <t>Fecha:</t>
  </si>
  <si>
    <r>
      <t>ENSAYO DE COMPRESIÓN EN CUBOS NTC 220 (</t>
    </r>
    <r>
      <rPr>
        <b/>
        <sz val="8"/>
        <rFont val="Arial"/>
        <family val="2"/>
      </rPr>
      <t>2017-08-16</t>
    </r>
    <r>
      <rPr>
        <b/>
        <sz val="12"/>
        <rFont val="Arial"/>
        <family val="2"/>
      </rPr>
      <t>)</t>
    </r>
  </si>
  <si>
    <t>PAGINA 1 DE 1</t>
  </si>
  <si>
    <t>LOS RESULTADOS PRESENTADOS EN ESTE INFORME CORRESPONDEN ÚNICAMENTE A LAS MUESTRAS ENSAYADAS</t>
  </si>
  <si>
    <t>PROHIBIDA LA REPRODUCCIÓN TOTAL O PARCIAL DEL PRESENTE INFORME SIN AUTORIZACIÓN DE LABORATORIOS GEOLAB CSP SAS</t>
  </si>
  <si>
    <t>Autorizo:</t>
  </si>
  <si>
    <t>ING. JAVIER BUITRAGO</t>
  </si>
  <si>
    <t>GERENTE TECNICO</t>
  </si>
  <si>
    <t>Código: F-AI-1-09</t>
  </si>
  <si>
    <t>PESO</t>
  </si>
  <si>
    <t>KN</t>
  </si>
  <si>
    <t>PRO 1</t>
  </si>
  <si>
    <t>PRO 2</t>
  </si>
  <si>
    <t>N/A</t>
  </si>
  <si>
    <r>
      <t>g/cm</t>
    </r>
    <r>
      <rPr>
        <b/>
        <vertAlign val="superscript"/>
        <sz val="7"/>
        <rFont val="Arial"/>
        <family val="2"/>
      </rPr>
      <t>3</t>
    </r>
  </si>
  <si>
    <r>
      <t>kg/cm</t>
    </r>
    <r>
      <rPr>
        <b/>
        <vertAlign val="superscript"/>
        <sz val="7"/>
        <rFont val="Arial"/>
        <family val="2"/>
      </rPr>
      <t>2</t>
    </r>
  </si>
  <si>
    <t>Defectos del Especimen</t>
  </si>
  <si>
    <t>LABORATORIO DE INGENIERIA CIVIL Calle 50a No. 16 - 77 Tel. 6429289 Bucaramanga Santander</t>
  </si>
  <si>
    <t>FIN DEL INFORME</t>
  </si>
  <si>
    <t>(MPa)</t>
  </si>
  <si>
    <t>Resistencia</t>
  </si>
  <si>
    <t>(%)</t>
  </si>
  <si>
    <t>51 CONSORCIO ZMS AV EL DORADO 69 76 TO 3 OF 501</t>
  </si>
  <si>
    <t>51-1  PROYECTO VARIANTE SAN GIL</t>
  </si>
  <si>
    <t>Versión: 01</t>
  </si>
  <si>
    <t>Fecha:  2022-09-06</t>
  </si>
  <si>
    <t>CONDICIONES DEL ENSAYO:</t>
  </si>
  <si>
    <t>° DATOS SUMINISTRADOS POR EL CLIENTE</t>
  </si>
  <si>
    <t>INCERTIDUMBRE EXPANDIDA U : 0,0146</t>
  </si>
  <si>
    <t>EL LABORATORIO NO SE HACE RESPONSABLE POR LA INFORMACION SUMINISTRADA O CONFIRMADA POR EL CLIENTE QUE PUEDA AFECTAR LA VALIDEZ DE LOS RESULTADOS</t>
  </si>
  <si>
    <t>° C.O.</t>
  </si>
  <si>
    <t>° Cilindro</t>
  </si>
  <si>
    <t>° Localización</t>
  </si>
  <si>
    <t>° Fecha de Toma</t>
  </si>
  <si>
    <t>° Edad</t>
  </si>
  <si>
    <t>° R. Nominal</t>
  </si>
  <si>
    <t>TEMPERATURA 26,5 °C</t>
  </si>
  <si>
    <t>ANCLAJE 169,  TERRAZA 1, FILA 2 M.I PREDIO 48</t>
  </si>
  <si>
    <t>ANCLAJE 98, TERRAZA 1, FILA 1 M.D PREDIO 48</t>
  </si>
  <si>
    <t>ANCLAJE 131, TERRAZA 1, FILA 1 M.I PREDIO 48</t>
  </si>
  <si>
    <t>ANCLAJE 163, TERRAZA 1, FILA 1,  M.I PREDIO 48</t>
  </si>
  <si>
    <t>0167-2024</t>
  </si>
  <si>
    <t>LOS RESULTADOS PRESENTADOS EN ESTE INFORME CORRESPONDEN ÚNICAMENTE A LAS MUESTRAS ENSAYADAS. NO SE REALIZA MUESTREO</t>
  </si>
  <si>
    <t>GEOLAB LABORATORIO DE INGENIERIA CIVIL SAS  via antigua floridablanca #195-12 floridablanca Santander</t>
  </si>
  <si>
    <t>TEMPERATURA 25,0°C</t>
  </si>
  <si>
    <t>11 C</t>
  </si>
  <si>
    <t>MICROPILOTES D10</t>
  </si>
  <si>
    <t>57 URBANIZADORA MARVAL S.A.S AV EL DORADO 69 A 51 TO  B P4</t>
  </si>
  <si>
    <t>57-12 SKY TOWER</t>
  </si>
  <si>
    <t>MP B28-B29</t>
  </si>
  <si>
    <t>1078-2026</t>
  </si>
  <si>
    <t>MP C7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</si>
</sst>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#,"/>
    <numFmt numFmtId="167" formatCode="yyyy\-mm\-dd;@"/>
  </numFmts>
  <fonts count="25" x14ac:knownFonts="1">
    <font>
      <sz val="10"/>
      <name val="Arial"/>
    </font>
    <font>
      <b/>
      <sz val="10"/>
      <color indexed="17"/>
      <name val="Verdana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8"/>
      <name val="Arial"/>
      <family val="2"/>
    </font>
    <font>
      <sz val="9"/>
      <name val="Arial"/>
      <family val="2"/>
    </font>
    <font>
      <sz val="1"/>
      <color indexed="16"/>
      <name val="Courier"/>
      <family val="3"/>
    </font>
    <font>
      <i/>
      <sz val="1"/>
      <color indexed="16"/>
      <name val="Courier"/>
      <family val="3"/>
    </font>
    <font>
      <b/>
      <sz val="1"/>
      <color indexed="16"/>
      <name val="Courier"/>
      <family val="3"/>
    </font>
    <font>
      <b/>
      <sz val="8"/>
      <color theme="0"/>
      <name val="Arial"/>
      <family val="2"/>
    </font>
    <font>
      <sz val="8"/>
      <color theme="0"/>
      <name val="Arial"/>
      <family val="2"/>
    </font>
    <font>
      <sz val="9"/>
      <color theme="0"/>
      <name val="Arial"/>
      <family val="2"/>
    </font>
    <font>
      <sz val="10"/>
      <name val="Arial"/>
      <family val="2"/>
    </font>
    <font>
      <b/>
      <i/>
      <sz val="6"/>
      <name val="Arial"/>
      <family val="2"/>
    </font>
    <font>
      <i/>
      <sz val="6"/>
      <name val="Arial"/>
      <family val="2"/>
    </font>
    <font>
      <b/>
      <sz val="8.5"/>
      <color indexed="8"/>
      <name val="MS Sans Serif"/>
      <family val="2"/>
    </font>
    <font>
      <b/>
      <sz val="11"/>
      <name val="Arial"/>
      <family val="2"/>
    </font>
    <font>
      <b/>
      <sz val="7"/>
      <name val="Arial"/>
      <family val="2"/>
    </font>
    <font>
      <sz val="7"/>
      <name val="Arial"/>
      <family val="2"/>
    </font>
    <font>
      <b/>
      <vertAlign val="superscript"/>
      <sz val="7"/>
      <name val="Arial"/>
      <family val="2"/>
    </font>
    <font>
      <sz val="6"/>
      <name val="Arial"/>
      <family val="2"/>
    </font>
    <font>
      <sz val="10"/>
      <name val="Arial"/>
      <family val="2"/>
    </font>
    <font>
      <sz val="10"/>
      <color theme="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6">
    <xf numFmtId="0" fontId="0" fillId="0" borderId="0"/>
    <xf numFmtId="166" fontId="8" fillId="0" borderId="0">
      <protection locked="0"/>
    </xf>
    <xf numFmtId="166" fontId="8" fillId="0" borderId="0">
      <protection locked="0"/>
    </xf>
    <xf numFmtId="166" fontId="8" fillId="0" borderId="0">
      <protection locked="0"/>
    </xf>
    <xf numFmtId="166" fontId="8" fillId="0" borderId="0">
      <protection locked="0"/>
    </xf>
    <xf numFmtId="166" fontId="8" fillId="0" borderId="0">
      <protection locked="0"/>
    </xf>
    <xf numFmtId="166" fontId="9" fillId="0" borderId="0">
      <protection locked="0"/>
    </xf>
    <xf numFmtId="166" fontId="8" fillId="0" borderId="0">
      <protection locked="0"/>
    </xf>
    <xf numFmtId="166" fontId="8" fillId="0" borderId="0">
      <protection locked="0"/>
    </xf>
    <xf numFmtId="166" fontId="8" fillId="0" borderId="0">
      <protection locked="0"/>
    </xf>
    <xf numFmtId="166" fontId="9" fillId="0" borderId="0">
      <protection locked="0"/>
    </xf>
    <xf numFmtId="166" fontId="8" fillId="0" borderId="0">
      <protection locked="0"/>
    </xf>
    <xf numFmtId="166" fontId="10" fillId="0" borderId="0">
      <protection locked="0"/>
    </xf>
    <xf numFmtId="166" fontId="10" fillId="0" borderId="0">
      <protection locked="0"/>
    </xf>
    <xf numFmtId="9" fontId="23" fillId="0" borderId="0" applyFont="0" applyFill="0" applyBorder="0" applyAlignment="0" applyProtection="0"/>
    <xf numFmtId="0" fontId="14" fillId="0" borderId="0"/>
  </cellStyleXfs>
  <cellXfs count="158">
    <xf numFmtId="0" fontId="0" fillId="0" borderId="0" xfId="0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165" fontId="7" fillId="0" borderId="1" xfId="0" applyNumberFormat="1" applyFont="1" applyBorder="1" applyAlignment="1">
      <alignment horizontal="center"/>
    </xf>
    <xf numFmtId="164" fontId="7" fillId="0" borderId="2" xfId="0" quotePrefix="1" applyNumberFormat="1" applyFont="1" applyBorder="1" applyAlignment="1">
      <alignment horizontal="center"/>
    </xf>
    <xf numFmtId="2" fontId="7" fillId="0" borderId="1" xfId="0" applyNumberFormat="1" applyFont="1" applyBorder="1" applyAlignment="1">
      <alignment horizontal="center"/>
    </xf>
    <xf numFmtId="164" fontId="7" fillId="0" borderId="3" xfId="0" applyNumberFormat="1" applyFont="1" applyBorder="1" applyAlignment="1">
      <alignment horizontal="center"/>
    </xf>
    <xf numFmtId="1" fontId="7" fillId="0" borderId="1" xfId="0" applyNumberFormat="1" applyFont="1" applyBorder="1" applyAlignment="1">
      <alignment horizontal="center"/>
    </xf>
    <xf numFmtId="0" fontId="3" fillId="0" borderId="0" xfId="0" applyFont="1"/>
    <xf numFmtId="0" fontId="3" fillId="0" borderId="4" xfId="0" applyFont="1" applyBorder="1"/>
    <xf numFmtId="0" fontId="3" fillId="0" borderId="5" xfId="0" applyFont="1" applyBorder="1"/>
    <xf numFmtId="0" fontId="12" fillId="0" borderId="1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164" fontId="13" fillId="0" borderId="1" xfId="0" applyNumberFormat="1" applyFont="1" applyBorder="1" applyAlignment="1">
      <alignment horizontal="center"/>
    </xf>
    <xf numFmtId="165" fontId="13" fillId="0" borderId="1" xfId="0" applyNumberFormat="1" applyFont="1" applyBorder="1" applyAlignment="1">
      <alignment horizontal="center"/>
    </xf>
    <xf numFmtId="164" fontId="13" fillId="0" borderId="2" xfId="0" quotePrefix="1" applyNumberFormat="1" applyFont="1" applyBorder="1" applyAlignment="1">
      <alignment horizontal="center"/>
    </xf>
    <xf numFmtId="2" fontId="13" fillId="0" borderId="1" xfId="0" applyNumberFormat="1" applyFont="1" applyBorder="1" applyAlignment="1">
      <alignment horizontal="center"/>
    </xf>
    <xf numFmtId="164" fontId="13" fillId="0" borderId="3" xfId="0" applyNumberFormat="1" applyFont="1" applyBorder="1" applyAlignment="1">
      <alignment horizontal="center"/>
    </xf>
    <xf numFmtId="1" fontId="13" fillId="0" borderId="1" xfId="0" applyNumberFormat="1" applyFont="1" applyBorder="1" applyAlignment="1">
      <alignment horizontal="center"/>
    </xf>
    <xf numFmtId="0" fontId="3" fillId="0" borderId="6" xfId="0" applyFont="1" applyBorder="1"/>
    <xf numFmtId="0" fontId="3" fillId="0" borderId="3" xfId="0" applyFont="1" applyBorder="1"/>
    <xf numFmtId="0" fontId="3" fillId="0" borderId="2" xfId="0" applyFont="1" applyBorder="1"/>
    <xf numFmtId="0" fontId="3" fillId="0" borderId="8" xfId="0" applyFont="1" applyBorder="1"/>
    <xf numFmtId="0" fontId="11" fillId="0" borderId="0" xfId="0" applyFont="1"/>
    <xf numFmtId="164" fontId="13" fillId="0" borderId="7" xfId="0" applyNumberFormat="1" applyFont="1" applyBorder="1" applyAlignment="1">
      <alignment horizontal="center"/>
    </xf>
    <xf numFmtId="1" fontId="13" fillId="0" borderId="7" xfId="0" quotePrefix="1" applyNumberFormat="1" applyFont="1" applyBorder="1" applyAlignment="1">
      <alignment horizontal="center"/>
    </xf>
    <xf numFmtId="2" fontId="13" fillId="0" borderId="7" xfId="0" applyNumberFormat="1" applyFont="1" applyBorder="1" applyAlignment="1">
      <alignment horizontal="center"/>
    </xf>
    <xf numFmtId="0" fontId="2" fillId="2" borderId="12" xfId="0" applyFont="1" applyFill="1" applyBorder="1" applyAlignment="1">
      <alignment vertical="center"/>
    </xf>
    <xf numFmtId="0" fontId="2" fillId="2" borderId="13" xfId="0" applyFont="1" applyFill="1" applyBorder="1" applyAlignment="1">
      <alignment vertical="center"/>
    </xf>
    <xf numFmtId="0" fontId="2" fillId="2" borderId="14" xfId="0" applyFont="1" applyFill="1" applyBorder="1" applyAlignment="1">
      <alignment vertical="center"/>
    </xf>
    <xf numFmtId="0" fontId="5" fillId="2" borderId="7" xfId="0" applyFont="1" applyFill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6" fillId="0" borderId="0" xfId="0" applyFont="1"/>
    <xf numFmtId="14" fontId="14" fillId="0" borderId="0" xfId="0" applyNumberFormat="1" applyFont="1"/>
    <xf numFmtId="0" fontId="14" fillId="0" borderId="0" xfId="0" applyFont="1"/>
    <xf numFmtId="0" fontId="17" fillId="0" borderId="0" xfId="0" applyFont="1"/>
    <xf numFmtId="0" fontId="7" fillId="0" borderId="7" xfId="0" applyFont="1" applyBorder="1" applyAlignment="1">
      <alignment horizontal="center"/>
    </xf>
    <xf numFmtId="164" fontId="7" fillId="0" borderId="7" xfId="0" applyNumberFormat="1" applyFont="1" applyBorder="1" applyAlignment="1">
      <alignment horizontal="center"/>
    </xf>
    <xf numFmtId="1" fontId="7" fillId="0" borderId="7" xfId="0" quotePrefix="1" applyNumberFormat="1" applyFont="1" applyBorder="1" applyAlignment="1">
      <alignment horizontal="center"/>
    </xf>
    <xf numFmtId="165" fontId="7" fillId="0" borderId="7" xfId="0" applyNumberFormat="1" applyFont="1" applyBorder="1" applyAlignment="1">
      <alignment horizontal="center"/>
    </xf>
    <xf numFmtId="164" fontId="7" fillId="0" borderId="13" xfId="0" quotePrefix="1" applyNumberFormat="1" applyFont="1" applyBorder="1" applyAlignment="1">
      <alignment horizontal="center"/>
    </xf>
    <xf numFmtId="2" fontId="7" fillId="0" borderId="7" xfId="0" applyNumberFormat="1" applyFont="1" applyBorder="1" applyAlignment="1">
      <alignment horizontal="center"/>
    </xf>
    <xf numFmtId="164" fontId="7" fillId="0" borderId="12" xfId="0" applyNumberFormat="1" applyFont="1" applyBorder="1" applyAlignment="1">
      <alignment horizontal="center"/>
    </xf>
    <xf numFmtId="1" fontId="7" fillId="0" borderId="7" xfId="0" applyNumberFormat="1" applyFont="1" applyBorder="1" applyAlignment="1">
      <alignment horizontal="center"/>
    </xf>
    <xf numFmtId="0" fontId="0" fillId="0" borderId="7" xfId="0" applyBorder="1"/>
    <xf numFmtId="0" fontId="19" fillId="0" borderId="5" xfId="0" applyFont="1" applyBorder="1" applyAlignment="1">
      <alignment horizontal="center"/>
    </xf>
    <xf numFmtId="0" fontId="19" fillId="0" borderId="9" xfId="0" applyFont="1" applyBorder="1" applyAlignment="1">
      <alignment horizontal="center"/>
    </xf>
    <xf numFmtId="49" fontId="19" fillId="0" borderId="3" xfId="0" quotePrefix="1" applyNumberFormat="1" applyFont="1" applyBorder="1" applyAlignment="1">
      <alignment vertical="center"/>
    </xf>
    <xf numFmtId="0" fontId="20" fillId="0" borderId="0" xfId="0" applyFont="1"/>
    <xf numFmtId="49" fontId="19" fillId="0" borderId="8" xfId="0" applyNumberFormat="1" applyFont="1" applyBorder="1" applyAlignment="1">
      <alignment horizontal="left" vertical="center"/>
    </xf>
    <xf numFmtId="49" fontId="19" fillId="0" borderId="2" xfId="0" applyNumberFormat="1" applyFont="1" applyBorder="1" applyAlignment="1">
      <alignment horizontal="left" vertical="center"/>
    </xf>
    <xf numFmtId="0" fontId="19" fillId="0" borderId="3" xfId="0" applyFont="1" applyBorder="1" applyAlignment="1">
      <alignment horizontal="centerContinuous"/>
    </xf>
    <xf numFmtId="0" fontId="19" fillId="0" borderId="10" xfId="0" applyFont="1" applyBorder="1" applyAlignment="1">
      <alignment horizontal="centerContinuous"/>
    </xf>
    <xf numFmtId="0" fontId="19" fillId="0" borderId="11" xfId="0" applyFont="1" applyBorder="1" applyAlignment="1">
      <alignment horizontal="center"/>
    </xf>
    <xf numFmtId="0" fontId="19" fillId="0" borderId="9" xfId="0" quotePrefix="1" applyFont="1" applyBorder="1" applyAlignment="1">
      <alignment horizontal="center"/>
    </xf>
    <xf numFmtId="0" fontId="19" fillId="0" borderId="0" xfId="0" quotePrefix="1" applyFont="1" applyAlignment="1">
      <alignment horizontal="center"/>
    </xf>
    <xf numFmtId="0" fontId="19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9" fillId="0" borderId="7" xfId="0" applyFont="1" applyBorder="1" applyAlignment="1">
      <alignment horizontal="centerContinuous"/>
    </xf>
    <xf numFmtId="164" fontId="7" fillId="0" borderId="12" xfId="14" applyNumberFormat="1" applyFont="1" applyFill="1" applyBorder="1" applyAlignment="1">
      <alignment horizontal="center"/>
    </xf>
    <xf numFmtId="164" fontId="13" fillId="0" borderId="12" xfId="14" applyNumberFormat="1" applyFont="1" applyFill="1" applyBorder="1" applyAlignment="1">
      <alignment horizontal="center"/>
    </xf>
    <xf numFmtId="0" fontId="0" fillId="0" borderId="7" xfId="0" applyBorder="1" applyAlignment="1" applyProtection="1">
      <alignment horizontal="right"/>
      <protection locked="0"/>
    </xf>
    <xf numFmtId="0" fontId="24" fillId="0" borderId="0" xfId="0" applyFont="1"/>
    <xf numFmtId="0" fontId="0" fillId="4" borderId="17" xfId="0" applyFill="1" applyBorder="1" applyAlignment="1" applyProtection="1">
      <alignment horizontal="right"/>
      <protection locked="0"/>
    </xf>
    <xf numFmtId="0" fontId="0" fillId="4" borderId="7" xfId="0" applyFill="1" applyBorder="1" applyAlignment="1" applyProtection="1">
      <alignment horizontal="right"/>
      <protection locked="0"/>
    </xf>
    <xf numFmtId="0" fontId="0" fillId="0" borderId="17" xfId="0" applyBorder="1" applyAlignment="1" applyProtection="1">
      <alignment horizontal="right"/>
      <protection locked="0"/>
    </xf>
    <xf numFmtId="0" fontId="0" fillId="4" borderId="9" xfId="0" applyFill="1" applyBorder="1" applyAlignment="1" applyProtection="1">
      <alignment horizontal="right"/>
      <protection locked="0"/>
    </xf>
    <xf numFmtId="0" fontId="0" fillId="4" borderId="0" xfId="0" applyFill="1" applyAlignment="1" applyProtection="1">
      <alignment horizontal="right"/>
      <protection locked="0"/>
    </xf>
    <xf numFmtId="0" fontId="0" fillId="0" borderId="9" xfId="0" applyBorder="1" applyAlignment="1" applyProtection="1">
      <alignment horizontal="right"/>
      <protection locked="0"/>
    </xf>
    <xf numFmtId="0" fontId="14" fillId="0" borderId="7" xfId="0" applyFont="1" applyBorder="1" applyAlignment="1" applyProtection="1">
      <alignment horizontal="center"/>
      <protection locked="0"/>
    </xf>
    <xf numFmtId="0" fontId="7" fillId="0" borderId="0" xfId="15" applyFont="1" applyAlignment="1">
      <alignment horizontal="left"/>
    </xf>
    <xf numFmtId="0" fontId="7" fillId="0" borderId="0" xfId="0" applyFont="1"/>
    <xf numFmtId="49" fontId="6" fillId="0" borderId="0" xfId="15" applyNumberFormat="1" applyFont="1" applyAlignment="1">
      <alignment horizontal="left"/>
    </xf>
    <xf numFmtId="0" fontId="22" fillId="0" borderId="0" xfId="0" applyFont="1"/>
    <xf numFmtId="0" fontId="14" fillId="3" borderId="7" xfId="0" applyFont="1" applyFill="1" applyBorder="1" applyAlignment="1" applyProtection="1">
      <alignment horizontal="center"/>
      <protection locked="0"/>
    </xf>
    <xf numFmtId="0" fontId="24" fillId="0" borderId="7" xfId="0" applyFont="1" applyBorder="1" applyAlignment="1" applyProtection="1">
      <alignment horizontal="center"/>
      <protection locked="0"/>
    </xf>
    <xf numFmtId="0" fontId="13" fillId="0" borderId="7" xfId="0" applyFont="1" applyBorder="1" applyAlignment="1">
      <alignment horizontal="center"/>
    </xf>
    <xf numFmtId="2" fontId="13" fillId="3" borderId="7" xfId="0" applyNumberFormat="1" applyFont="1" applyFill="1" applyBorder="1" applyAlignment="1">
      <alignment horizontal="center"/>
    </xf>
    <xf numFmtId="164" fontId="13" fillId="3" borderId="7" xfId="0" applyNumberFormat="1" applyFont="1" applyFill="1" applyBorder="1" applyAlignment="1">
      <alignment horizontal="center"/>
    </xf>
    <xf numFmtId="1" fontId="13" fillId="3" borderId="7" xfId="0" quotePrefix="1" applyNumberFormat="1" applyFont="1" applyFill="1" applyBorder="1" applyAlignment="1">
      <alignment horizontal="center"/>
    </xf>
    <xf numFmtId="165" fontId="13" fillId="3" borderId="1" xfId="0" applyNumberFormat="1" applyFont="1" applyFill="1" applyBorder="1" applyAlignment="1">
      <alignment horizontal="center"/>
    </xf>
    <xf numFmtId="164" fontId="13" fillId="3" borderId="1" xfId="0" applyNumberFormat="1" applyFont="1" applyFill="1" applyBorder="1" applyAlignment="1">
      <alignment horizontal="center"/>
    </xf>
    <xf numFmtId="164" fontId="13" fillId="3" borderId="2" xfId="0" quotePrefix="1" applyNumberFormat="1" applyFont="1" applyFill="1" applyBorder="1" applyAlignment="1">
      <alignment horizontal="center"/>
    </xf>
    <xf numFmtId="2" fontId="13" fillId="3" borderId="1" xfId="0" applyNumberFormat="1" applyFont="1" applyFill="1" applyBorder="1" applyAlignment="1">
      <alignment horizontal="center"/>
    </xf>
    <xf numFmtId="164" fontId="13" fillId="3" borderId="12" xfId="14" applyNumberFormat="1" applyFont="1" applyFill="1" applyBorder="1" applyAlignment="1">
      <alignment horizontal="center"/>
    </xf>
    <xf numFmtId="164" fontId="13" fillId="3" borderId="3" xfId="0" applyNumberFormat="1" applyFont="1" applyFill="1" applyBorder="1" applyAlignment="1">
      <alignment horizontal="center"/>
    </xf>
    <xf numFmtId="1" fontId="13" fillId="3" borderId="1" xfId="0" applyNumberFormat="1" applyFont="1" applyFill="1" applyBorder="1" applyAlignment="1">
      <alignment horizontal="center"/>
    </xf>
    <xf numFmtId="0" fontId="24" fillId="3" borderId="7" xfId="0" applyFont="1" applyFill="1" applyBorder="1" applyAlignment="1" applyProtection="1">
      <alignment horizontal="center"/>
      <protection locked="0"/>
    </xf>
    <xf numFmtId="0" fontId="12" fillId="0" borderId="7" xfId="0" applyFont="1" applyBorder="1" applyAlignment="1">
      <alignment vertical="center" wrapText="1"/>
    </xf>
    <xf numFmtId="0" fontId="0" fillId="0" borderId="1" xfId="0" applyBorder="1" applyAlignment="1" applyProtection="1">
      <alignment horizontal="right"/>
      <protection locked="0"/>
    </xf>
    <xf numFmtId="0" fontId="14" fillId="0" borderId="1" xfId="0" applyFont="1" applyBorder="1" applyAlignment="1" applyProtection="1">
      <alignment horizontal="center"/>
      <protection locked="0"/>
    </xf>
    <xf numFmtId="0" fontId="14" fillId="0" borderId="17" xfId="0" applyFont="1" applyBorder="1" applyAlignment="1" applyProtection="1">
      <alignment horizontal="center"/>
      <protection locked="0"/>
    </xf>
    <xf numFmtId="0" fontId="14" fillId="0" borderId="7" xfId="0" applyFont="1" applyBorder="1" applyAlignment="1">
      <alignment horizontal="center"/>
    </xf>
    <xf numFmtId="0" fontId="24" fillId="0" borderId="1" xfId="0" applyFont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>
      <alignment horizontal="center"/>
    </xf>
    <xf numFmtId="167" fontId="13" fillId="0" borderId="13" xfId="0" applyNumberFormat="1" applyFont="1" applyBorder="1" applyAlignment="1">
      <alignment horizontal="center"/>
    </xf>
    <xf numFmtId="167" fontId="13" fillId="0" borderId="14" xfId="0" applyNumberFormat="1" applyFont="1" applyBorder="1" applyAlignment="1">
      <alignment horizontal="center"/>
    </xf>
    <xf numFmtId="0" fontId="22" fillId="0" borderId="0" xfId="0" applyFont="1" applyAlignment="1">
      <alignment horizontal="center"/>
    </xf>
    <xf numFmtId="0" fontId="3" fillId="0" borderId="4" xfId="0" applyFont="1" applyBorder="1" applyAlignment="1">
      <alignment horizontal="center"/>
    </xf>
    <xf numFmtId="0" fontId="16" fillId="0" borderId="0" xfId="0" applyFont="1" applyAlignment="1">
      <alignment horizontal="left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17" fillId="0" borderId="2" xfId="0" applyFont="1" applyBorder="1" applyAlignment="1">
      <alignment horizontal="center"/>
    </xf>
    <xf numFmtId="0" fontId="2" fillId="2" borderId="7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16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2" fillId="2" borderId="15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 wrapText="1"/>
    </xf>
    <xf numFmtId="0" fontId="19" fillId="0" borderId="1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8" fillId="2" borderId="13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 vertical="center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167" fontId="4" fillId="2" borderId="12" xfId="0" applyNumberFormat="1" applyFont="1" applyFill="1" applyBorder="1" applyAlignment="1">
      <alignment horizontal="center" vertical="center"/>
    </xf>
    <xf numFmtId="167" fontId="4" fillId="2" borderId="13" xfId="0" applyNumberFormat="1" applyFont="1" applyFill="1" applyBorder="1" applyAlignment="1">
      <alignment horizontal="center" vertical="center"/>
    </xf>
    <xf numFmtId="167" fontId="4" fillId="2" borderId="14" xfId="0" applyNumberFormat="1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4" xfId="0" applyFont="1" applyFill="1" applyBorder="1" applyAlignment="1">
      <alignment horizontal="center" vertical="center"/>
    </xf>
    <xf numFmtId="0" fontId="19" fillId="0" borderId="9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7" fontId="7" fillId="0" borderId="12" xfId="0" applyNumberFormat="1" applyFont="1" applyBorder="1" applyAlignment="1">
      <alignment horizontal="center"/>
    </xf>
    <xf numFmtId="167" fontId="7" fillId="0" borderId="13" xfId="0" applyNumberFormat="1" applyFont="1" applyBorder="1" applyAlignment="1">
      <alignment horizontal="center"/>
    </xf>
    <xf numFmtId="167" fontId="7" fillId="0" borderId="14" xfId="0" applyNumberFormat="1" applyFont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</cellXfs>
  <cellStyles count="16">
    <cellStyle name="Comma" xfId="1" xr:uid="{00000000-0005-0000-0000-000000000000}"/>
    <cellStyle name="Currency" xfId="2" xr:uid="{00000000-0005-0000-0000-000001000000}"/>
    <cellStyle name="Date" xfId="3" xr:uid="{00000000-0005-0000-0000-000002000000}"/>
    <cellStyle name="F2" xfId="4" xr:uid="{00000000-0005-0000-0000-000003000000}"/>
    <cellStyle name="F3" xfId="5" xr:uid="{00000000-0005-0000-0000-000004000000}"/>
    <cellStyle name="F4" xfId="6" xr:uid="{00000000-0005-0000-0000-000005000000}"/>
    <cellStyle name="F5" xfId="7" xr:uid="{00000000-0005-0000-0000-000006000000}"/>
    <cellStyle name="F6" xfId="8" xr:uid="{00000000-0005-0000-0000-000007000000}"/>
    <cellStyle name="F7" xfId="9" xr:uid="{00000000-0005-0000-0000-000008000000}"/>
    <cellStyle name="F8" xfId="10" xr:uid="{00000000-0005-0000-0000-000009000000}"/>
    <cellStyle name="Fixed" xfId="11" xr:uid="{00000000-0005-0000-0000-00000A000000}"/>
    <cellStyle name="Heading1" xfId="12" xr:uid="{00000000-0005-0000-0000-00000B000000}"/>
    <cellStyle name="Heading2" xfId="13" xr:uid="{00000000-0005-0000-0000-00000C000000}"/>
    <cellStyle name="Normal" xfId="0" builtinId="0"/>
    <cellStyle name="Normal 3" xfId="15" xr:uid="{00000000-0005-0000-0000-00000E000000}"/>
    <cellStyle name="Percent" xfId="14" xr:uid="{00000000-0005-0000-0000-00000F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14111</xdr:colOff>
      <xdr:row>0</xdr:row>
      <xdr:rowOff>84666</xdr:rowOff>
    </xdr:from>
    <xdr:to>
      <xdr:col>2</xdr:col>
      <xdr:colOff>282223</xdr:colOff>
      <xdr:row>2</xdr:row>
      <xdr:rowOff>268111</xdr:rowOff>
    </xdr:to>
    <xdr:grpSp>
      <xdr:nvGrpSpPr>
        <xdr:cNvPr id="4" name="Grupo 3">
          <a:extLst>
            <a:ext uri="{FF2B5EF4-FFF2-40B4-BE49-F238E27FC236}">
              <a16:creationId xmlns:a16="http://schemas.microsoft.com/office/drawing/2014/main" id="{222626C5-84FB-4679-A121-D5D90522E32C}"/>
            </a:ext>
          </a:extLst>
        </xdr:cNvPr>
        <xdr:cNvGrpSpPr>
          <a:grpSpLocks/>
        </xdr:cNvGrpSpPr>
      </xdr:nvGrpSpPr>
      <xdr:grpSpPr bwMode="auto">
        <a:xfrm>
          <a:off x="14111" y="84666"/>
          <a:ext cx="2490612" cy="670278"/>
          <a:chOff x="45983" y="124810"/>
          <a:chExt cx="1661947" cy="696311"/>
        </a:xfrm>
      </xdr:grpSpPr>
      <xdr:pic>
        <xdr:nvPicPr>
          <xdr:cNvPr id="5" name="10 Imagen">
            <a:extLst>
              <a:ext uri="{FF2B5EF4-FFF2-40B4-BE49-F238E27FC236}">
                <a16:creationId xmlns:a16="http://schemas.microsoft.com/office/drawing/2014/main" id="{1AD4BBB4-308E-5C10-A4DE-4459DD4990BD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0264" b="18062"/>
          <a:stretch>
            <a:fillRect/>
          </a:stretch>
        </xdr:blipFill>
        <xdr:spPr bwMode="auto">
          <a:xfrm>
            <a:off x="45983" y="230281"/>
            <a:ext cx="1661947" cy="4594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6" name="Rectángulo redondeado 1">
            <a:extLst>
              <a:ext uri="{FF2B5EF4-FFF2-40B4-BE49-F238E27FC236}">
                <a16:creationId xmlns:a16="http://schemas.microsoft.com/office/drawing/2014/main" id="{E89B174E-DB98-E315-951E-2C3FDC20EA0A}"/>
              </a:ext>
            </a:extLst>
          </xdr:cNvPr>
          <xdr:cNvSpPr>
            <a:spLocks noChangeArrowheads="1"/>
          </xdr:cNvSpPr>
        </xdr:nvSpPr>
        <xdr:spPr bwMode="auto">
          <a:xfrm>
            <a:off x="91966" y="124810"/>
            <a:ext cx="1563413" cy="696311"/>
          </a:xfrm>
          <a:prstGeom prst="roundRect">
            <a:avLst>
              <a:gd name="adj" fmla="val 6292"/>
            </a:avLst>
          </a:prstGeom>
          <a:noFill/>
          <a:ln w="9525" algn="ctr">
            <a:solidFill>
              <a:srgbClr val="0070C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14111</xdr:colOff>
      <xdr:row>0</xdr:row>
      <xdr:rowOff>84666</xdr:rowOff>
    </xdr:from>
    <xdr:to>
      <xdr:col>2</xdr:col>
      <xdr:colOff>282223</xdr:colOff>
      <xdr:row>2</xdr:row>
      <xdr:rowOff>268111</xdr:rowOff>
    </xdr:to>
    <xdr:grpSp>
      <xdr:nvGrpSpPr>
        <xdr:cNvPr id="2" name="Grupo 1">
          <a:extLst>
            <a:ext uri="{FF2B5EF4-FFF2-40B4-BE49-F238E27FC236}">
              <a16:creationId xmlns:a16="http://schemas.microsoft.com/office/drawing/2014/main" id="{31E2EBBC-6B22-465C-8576-2F356E5225E5}"/>
            </a:ext>
          </a:extLst>
        </xdr:cNvPr>
        <xdr:cNvGrpSpPr>
          <a:grpSpLocks/>
        </xdr:cNvGrpSpPr>
      </xdr:nvGrpSpPr>
      <xdr:grpSpPr bwMode="auto">
        <a:xfrm>
          <a:off x="14111" y="84666"/>
          <a:ext cx="2490612" cy="670278"/>
          <a:chOff x="45983" y="124810"/>
          <a:chExt cx="1661947" cy="696311"/>
        </a:xfrm>
      </xdr:grpSpPr>
      <xdr:pic>
        <xdr:nvPicPr>
          <xdr:cNvPr id="3" name="10 Imagen">
            <a:extLst>
              <a:ext uri="{FF2B5EF4-FFF2-40B4-BE49-F238E27FC236}">
                <a16:creationId xmlns:a16="http://schemas.microsoft.com/office/drawing/2014/main" id="{8A106539-3F88-B0CE-8B01-D03EE6D11A92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0264" b="18062"/>
          <a:stretch>
            <a:fillRect/>
          </a:stretch>
        </xdr:blipFill>
        <xdr:spPr bwMode="auto">
          <a:xfrm>
            <a:off x="45983" y="230281"/>
            <a:ext cx="1661947" cy="459462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val="000000"/>
                </a:solidFill>
                <a:miter lim="800000"/>
                <a:headEnd/>
                <a:tailEnd/>
              </a14:hiddenLine>
            </a:ext>
          </a:extLst>
        </xdr:spPr>
      </xdr:pic>
      <xdr:sp macro="" textlink="">
        <xdr:nvSpPr>
          <xdr:cNvPr id="4" name="Rectángulo redondeado 1">
            <a:extLst>
              <a:ext uri="{FF2B5EF4-FFF2-40B4-BE49-F238E27FC236}">
                <a16:creationId xmlns:a16="http://schemas.microsoft.com/office/drawing/2014/main" id="{1B9B7F86-11AC-A299-EB9F-11E9E82BEE34}"/>
              </a:ext>
            </a:extLst>
          </xdr:cNvPr>
          <xdr:cNvSpPr>
            <a:spLocks noChangeArrowheads="1"/>
          </xdr:cNvSpPr>
        </xdr:nvSpPr>
        <xdr:spPr bwMode="auto">
          <a:xfrm>
            <a:off x="91966" y="124810"/>
            <a:ext cx="1563413" cy="696311"/>
          </a:xfrm>
          <a:prstGeom prst="roundRect">
            <a:avLst>
              <a:gd name="adj" fmla="val 6292"/>
            </a:avLst>
          </a:prstGeom>
          <a:noFill/>
          <a:ln w="9525" algn="ctr">
            <a:solidFill>
              <a:srgbClr val="0070C0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63"/>
  <sheetViews>
    <sheetView tabSelected="1" view="pageBreakPreview" topLeftCell="A4" zoomScale="90" zoomScaleNormal="100" zoomScaleSheetLayoutView="90" workbookViewId="0">
      <selection activeCell="U17" sqref="U17"/>
    </sheetView>
  </sheetViews>
  <sheetFormatPr baseColWidth="10" defaultColWidth="11.42578125" defaultRowHeight="12.75" x14ac:dyDescent="0.2"/>
  <cols>
    <col min="1" max="1" width="6.7109375" customWidth="1"/>
    <col min="2" max="2" width="26.7109375" customWidth="1"/>
    <col min="3" max="8" width="4.7109375" customWidth="1"/>
    <col min="9" max="9" width="5.7109375" customWidth="1"/>
    <col min="10" max="10" width="9.85546875" customWidth="1"/>
    <col min="11" max="11" width="6.28515625" customWidth="1"/>
    <col min="12" max="15" width="5.7109375" customWidth="1"/>
    <col min="16" max="16" width="8" customWidth="1"/>
    <col min="17" max="17" width="7.42578125" customWidth="1"/>
    <col min="18" max="18" width="7" customWidth="1"/>
    <col min="19" max="19" width="5.7109375" customWidth="1"/>
    <col min="20" max="20" width="9" customWidth="1"/>
    <col min="21" max="21" width="11.28515625" customWidth="1"/>
    <col min="22" max="22" width="9.7109375" customWidth="1"/>
    <col min="23" max="23" width="6" customWidth="1"/>
    <col min="24" max="24" width="7.5703125" customWidth="1"/>
    <col min="25" max="25" width="6.85546875" customWidth="1"/>
  </cols>
  <sheetData>
    <row r="1" spans="1:24" ht="19.5" customHeight="1" x14ac:dyDescent="0.2">
      <c r="A1" s="108"/>
      <c r="B1" s="109"/>
      <c r="C1" s="110"/>
      <c r="D1" s="117" t="s">
        <v>30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9"/>
      <c r="U1" s="126" t="s">
        <v>37</v>
      </c>
      <c r="V1" s="127"/>
    </row>
    <row r="2" spans="1:24" ht="19.5" customHeight="1" x14ac:dyDescent="0.2">
      <c r="A2" s="111"/>
      <c r="B2" s="112"/>
      <c r="C2" s="113"/>
      <c r="D2" s="120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2"/>
      <c r="U2" s="128" t="s">
        <v>53</v>
      </c>
      <c r="V2" s="129"/>
    </row>
    <row r="3" spans="1:24" ht="29.1" customHeight="1" x14ac:dyDescent="0.2">
      <c r="A3" s="114"/>
      <c r="B3" s="115"/>
      <c r="C3" s="116"/>
      <c r="D3" s="123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5"/>
      <c r="U3" s="128" t="s">
        <v>54</v>
      </c>
      <c r="V3" s="129"/>
    </row>
    <row r="4" spans="1:24" ht="24" customHeight="1" x14ac:dyDescent="0.2">
      <c r="A4" s="107" t="s">
        <v>72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X4" s="36" t="s">
        <v>72</v>
      </c>
    </row>
    <row r="5" spans="1:24" ht="12" customHeight="1" x14ac:dyDescent="0.2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9"/>
      <c r="X5" t="s">
        <v>26</v>
      </c>
    </row>
    <row r="6" spans="1:24" ht="18" customHeight="1" x14ac:dyDescent="0.2">
      <c r="A6" s="30" t="s">
        <v>27</v>
      </c>
      <c r="B6" s="132" t="s">
        <v>76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3"/>
      <c r="X6" t="s">
        <v>26</v>
      </c>
    </row>
    <row r="7" spans="1:24" ht="18" customHeight="1" x14ac:dyDescent="0.2">
      <c r="A7" s="31" t="s">
        <v>59</v>
      </c>
      <c r="B7" s="134" t="s">
        <v>77</v>
      </c>
      <c r="C7" s="135"/>
      <c r="D7" s="135"/>
      <c r="E7" s="135"/>
      <c r="F7" s="135"/>
      <c r="G7" s="135"/>
      <c r="H7" s="135"/>
      <c r="I7" s="135"/>
      <c r="J7" s="135"/>
      <c r="K7" s="135"/>
      <c r="L7" s="136"/>
      <c r="M7" s="137" t="s">
        <v>29</v>
      </c>
      <c r="N7" s="138"/>
      <c r="O7" s="139">
        <v>46098</v>
      </c>
      <c r="P7" s="140"/>
      <c r="Q7" s="141"/>
      <c r="R7" s="137" t="s">
        <v>28</v>
      </c>
      <c r="S7" s="142"/>
      <c r="T7" s="138"/>
      <c r="U7" s="143" t="s">
        <v>79</v>
      </c>
      <c r="V7" s="144"/>
      <c r="X7" t="s">
        <v>26</v>
      </c>
    </row>
    <row r="8" spans="1:24" x14ac:dyDescent="0.2">
      <c r="A8" s="47" t="s">
        <v>60</v>
      </c>
      <c r="B8" s="130" t="s">
        <v>61</v>
      </c>
      <c r="C8" s="49" t="s">
        <v>62</v>
      </c>
      <c r="D8" s="50"/>
      <c r="E8" s="51"/>
      <c r="F8" s="52" t="s">
        <v>0</v>
      </c>
      <c r="G8" s="52"/>
      <c r="H8" s="51"/>
      <c r="I8" s="48" t="s">
        <v>63</v>
      </c>
      <c r="J8" s="48" t="s">
        <v>64</v>
      </c>
      <c r="K8" s="48" t="s">
        <v>1</v>
      </c>
      <c r="L8" s="48" t="s">
        <v>2</v>
      </c>
      <c r="M8" s="48" t="s">
        <v>3</v>
      </c>
      <c r="N8" s="48" t="s">
        <v>4</v>
      </c>
      <c r="O8" s="48" t="s">
        <v>5</v>
      </c>
      <c r="P8" s="48" t="s">
        <v>6</v>
      </c>
      <c r="Q8" s="145" t="s">
        <v>7</v>
      </c>
      <c r="R8" s="53" t="s">
        <v>8</v>
      </c>
      <c r="S8" s="54"/>
      <c r="T8" s="61" t="s">
        <v>49</v>
      </c>
      <c r="U8" s="48" t="s">
        <v>9</v>
      </c>
      <c r="V8" s="147" t="s">
        <v>45</v>
      </c>
    </row>
    <row r="9" spans="1:24" ht="13.5" thickBot="1" x14ac:dyDescent="0.25">
      <c r="A9" s="47" t="s">
        <v>10</v>
      </c>
      <c r="B9" s="131"/>
      <c r="C9" s="55" t="s">
        <v>11</v>
      </c>
      <c r="D9" s="55" t="s">
        <v>12</v>
      </c>
      <c r="E9" s="55" t="s">
        <v>13</v>
      </c>
      <c r="F9" s="55" t="s">
        <v>11</v>
      </c>
      <c r="G9" s="55" t="s">
        <v>12</v>
      </c>
      <c r="H9" s="55" t="s">
        <v>13</v>
      </c>
      <c r="I9" s="48" t="s">
        <v>14</v>
      </c>
      <c r="J9" s="48" t="s">
        <v>48</v>
      </c>
      <c r="K9" s="48" t="s">
        <v>15</v>
      </c>
      <c r="L9" s="48" t="s">
        <v>15</v>
      </c>
      <c r="M9" s="48" t="s">
        <v>16</v>
      </c>
      <c r="N9" s="48" t="s">
        <v>15</v>
      </c>
      <c r="O9" s="48" t="s">
        <v>17</v>
      </c>
      <c r="P9" s="56" t="s">
        <v>43</v>
      </c>
      <c r="Q9" s="146"/>
      <c r="R9" s="57" t="s">
        <v>44</v>
      </c>
      <c r="S9" s="55" t="s">
        <v>18</v>
      </c>
      <c r="T9" s="58" t="s">
        <v>50</v>
      </c>
      <c r="U9" s="58" t="s">
        <v>19</v>
      </c>
      <c r="V9" s="148"/>
    </row>
    <row r="10" spans="1:24" ht="21" customHeight="1" x14ac:dyDescent="0.2">
      <c r="A10" s="72">
        <v>65</v>
      </c>
      <c r="B10" s="154" t="s">
        <v>80</v>
      </c>
      <c r="C10" s="151">
        <v>46091</v>
      </c>
      <c r="D10" s="152"/>
      <c r="E10" s="153"/>
      <c r="F10" s="151">
        <f>+C10+I10</f>
        <v>46098</v>
      </c>
      <c r="G10" s="152"/>
      <c r="H10" s="153"/>
      <c r="I10" s="38">
        <v>7</v>
      </c>
      <c r="J10" s="94">
        <v>28</v>
      </c>
      <c r="K10" s="39">
        <f t="shared" ref="K10:K24" si="0">+AVERAGE(M42:O42)/10</f>
        <v>5</v>
      </c>
      <c r="L10" s="39">
        <f>+AVERAGE(Q42:S42)/10</f>
        <v>5.01</v>
      </c>
      <c r="M10" s="39">
        <f>K10*L10</f>
        <v>25.049999999999997</v>
      </c>
      <c r="N10" s="39">
        <f t="shared" ref="N10:N24" si="1">+AVERAGE(R42:U42)/10</f>
        <v>5.0150000000000006</v>
      </c>
      <c r="O10" s="40">
        <f>+W42</f>
        <v>246</v>
      </c>
      <c r="P10" s="41">
        <f>O10/(M10*N10)</f>
        <v>1.9581972644939434</v>
      </c>
      <c r="Q10" s="39">
        <f>+X42</f>
        <v>68.58</v>
      </c>
      <c r="R10" s="42">
        <f>(Q10*101.96)/M10</f>
        <v>279.13839520958084</v>
      </c>
      <c r="S10" s="43">
        <f>R10*0.09807</f>
        <v>27.375102418203593</v>
      </c>
      <c r="T10" s="62">
        <f>+S10/J10*100</f>
        <v>97.768222922155687</v>
      </c>
      <c r="U10" s="44" t="s">
        <v>24</v>
      </c>
      <c r="V10" s="45" t="s">
        <v>42</v>
      </c>
    </row>
    <row r="11" spans="1:24" ht="21" customHeight="1" x14ac:dyDescent="0.2">
      <c r="A11" s="93">
        <v>65</v>
      </c>
      <c r="B11" s="155"/>
      <c r="C11" s="151">
        <f>+C10</f>
        <v>46091</v>
      </c>
      <c r="D11" s="152"/>
      <c r="E11" s="153"/>
      <c r="F11" s="151">
        <f>+C11+I11</f>
        <v>46098</v>
      </c>
      <c r="G11" s="152"/>
      <c r="H11" s="153"/>
      <c r="I11" s="1">
        <v>7</v>
      </c>
      <c r="J11" s="95">
        <v>28</v>
      </c>
      <c r="K11" s="39">
        <f t="shared" si="0"/>
        <v>5</v>
      </c>
      <c r="L11" s="39">
        <f>+AVERAGE(Q43:S43)/10</f>
        <v>5.0200000000000014</v>
      </c>
      <c r="M11" s="39">
        <f>K11*L11</f>
        <v>25.100000000000009</v>
      </c>
      <c r="N11" s="39">
        <f t="shared" si="1"/>
        <v>5.0250000000000004</v>
      </c>
      <c r="O11" s="40">
        <f t="shared" ref="O11:O13" si="2">+W43</f>
        <v>261</v>
      </c>
      <c r="P11" s="3">
        <f t="shared" ref="P11:P24" si="3">O11/(M11*N11)</f>
        <v>2.0693346018909429</v>
      </c>
      <c r="Q11" s="2">
        <f t="shared" ref="Q11:Q24" si="4">+X43</f>
        <v>68.400000000000006</v>
      </c>
      <c r="R11" s="4">
        <f t="shared" ref="R11:R24" si="5">(Q11*101.96)/M11</f>
        <v>277.851155378486</v>
      </c>
      <c r="S11" s="5">
        <f t="shared" ref="S11:S24" si="6">R11*0.09807</f>
        <v>27.248862807968123</v>
      </c>
      <c r="T11" s="62">
        <f>+S11/J11*100</f>
        <v>97.317367171314729</v>
      </c>
      <c r="U11" s="6" t="s">
        <v>24</v>
      </c>
      <c r="V11" s="7" t="s">
        <v>42</v>
      </c>
    </row>
    <row r="12" spans="1:24" s="36" customFormat="1" ht="21" customHeight="1" x14ac:dyDescent="0.2">
      <c r="A12" s="78">
        <v>56</v>
      </c>
      <c r="B12" s="149" t="s">
        <v>78</v>
      </c>
      <c r="C12" s="97">
        <v>46078</v>
      </c>
      <c r="D12" s="98"/>
      <c r="E12" s="99"/>
      <c r="F12" s="97">
        <f>+C12+I12</f>
        <v>46085</v>
      </c>
      <c r="G12" s="98"/>
      <c r="H12" s="99"/>
      <c r="I12" s="12">
        <v>7</v>
      </c>
      <c r="J12" s="96">
        <v>28</v>
      </c>
      <c r="K12" s="24" t="e">
        <f t="shared" si="0"/>
        <v>#DIV/0!</v>
      </c>
      <c r="L12" s="24" t="e">
        <f t="shared" ref="L12:L24" si="7">+AVERAGE(M44:O44)/10</f>
        <v>#DIV/0!</v>
      </c>
      <c r="M12" s="24" t="e">
        <f t="shared" ref="M12:M24" si="8">K12*L12</f>
        <v>#DIV/0!</v>
      </c>
      <c r="N12" s="24" t="e">
        <f>+AVERAGE(Q44:S44)/10</f>
        <v>#DIV/0!</v>
      </c>
      <c r="O12" s="25">
        <f t="shared" si="2"/>
        <v>0</v>
      </c>
      <c r="P12" s="14" t="e">
        <f t="shared" si="3"/>
        <v>#DIV/0!</v>
      </c>
      <c r="Q12" s="13">
        <f t="shared" si="4"/>
        <v>0</v>
      </c>
      <c r="R12" s="15" t="e">
        <f t="shared" si="5"/>
        <v>#DIV/0!</v>
      </c>
      <c r="S12" s="16" t="e">
        <f t="shared" si="6"/>
        <v>#DIV/0!</v>
      </c>
      <c r="T12" s="63" t="e">
        <f>+S12/J12*100</f>
        <v>#DIV/0!</v>
      </c>
      <c r="U12" s="17" t="s">
        <v>24</v>
      </c>
      <c r="V12" s="18" t="s">
        <v>42</v>
      </c>
    </row>
    <row r="13" spans="1:24" s="65" customFormat="1" ht="21" customHeight="1" x14ac:dyDescent="0.2">
      <c r="A13" s="96">
        <v>56</v>
      </c>
      <c r="B13" s="150"/>
      <c r="C13" s="97">
        <f>+C12</f>
        <v>46078</v>
      </c>
      <c r="D13" s="98"/>
      <c r="E13" s="99"/>
      <c r="F13" s="97">
        <f>+C13+I13</f>
        <v>46085</v>
      </c>
      <c r="G13" s="98"/>
      <c r="H13" s="99"/>
      <c r="I13" s="12">
        <v>7</v>
      </c>
      <c r="J13" s="96">
        <v>28</v>
      </c>
      <c r="K13" s="81" t="e">
        <f t="shared" si="0"/>
        <v>#DIV/0!</v>
      </c>
      <c r="L13" s="81" t="e">
        <f t="shared" si="7"/>
        <v>#DIV/0!</v>
      </c>
      <c r="M13" s="81" t="e">
        <f t="shared" si="8"/>
        <v>#DIV/0!</v>
      </c>
      <c r="N13" s="81" t="e">
        <f t="shared" si="1"/>
        <v>#DIV/0!</v>
      </c>
      <c r="O13" s="25">
        <f t="shared" si="2"/>
        <v>0</v>
      </c>
      <c r="P13" s="83" t="e">
        <f t="shared" si="3"/>
        <v>#DIV/0!</v>
      </c>
      <c r="Q13" s="84">
        <f t="shared" si="4"/>
        <v>0</v>
      </c>
      <c r="R13" s="85" t="e">
        <f t="shared" si="5"/>
        <v>#DIV/0!</v>
      </c>
      <c r="S13" s="86" t="e">
        <f t="shared" si="6"/>
        <v>#DIV/0!</v>
      </c>
      <c r="T13" s="63" t="e">
        <f>+S13/J13*100</f>
        <v>#DIV/0!</v>
      </c>
      <c r="U13" s="88" t="s">
        <v>24</v>
      </c>
      <c r="V13" s="89" t="s">
        <v>42</v>
      </c>
    </row>
    <row r="14" spans="1:24" s="65" customFormat="1" ht="21" customHeight="1" x14ac:dyDescent="0.2">
      <c r="A14" s="90" t="s">
        <v>74</v>
      </c>
      <c r="B14" s="91" t="s">
        <v>75</v>
      </c>
      <c r="C14" s="97">
        <v>45614</v>
      </c>
      <c r="D14" s="98"/>
      <c r="E14" s="99"/>
      <c r="F14" s="97">
        <f t="shared" ref="F14:F15" si="9">+C14+I14</f>
        <v>45628</v>
      </c>
      <c r="G14" s="98"/>
      <c r="H14" s="99"/>
      <c r="I14" s="12">
        <v>14</v>
      </c>
      <c r="J14" s="79">
        <v>28</v>
      </c>
      <c r="K14" s="80" t="e">
        <f>+AVERAGE(M46:O46)/10</f>
        <v>#DIV/0!</v>
      </c>
      <c r="L14" s="81" t="e">
        <f>+AVERAGE(Q46:S46)/10</f>
        <v>#DIV/0!</v>
      </c>
      <c r="M14" s="81" t="e">
        <f t="shared" si="8"/>
        <v>#DIV/0!</v>
      </c>
      <c r="N14" s="81" t="e">
        <f t="shared" si="1"/>
        <v>#DIV/0!</v>
      </c>
      <c r="O14" s="82">
        <f t="shared" ref="O14:O24" si="10">+W46</f>
        <v>0</v>
      </c>
      <c r="P14" s="83" t="e">
        <f t="shared" si="3"/>
        <v>#DIV/0!</v>
      </c>
      <c r="Q14" s="84">
        <f t="shared" si="4"/>
        <v>0</v>
      </c>
      <c r="R14" s="85" t="e">
        <f t="shared" si="5"/>
        <v>#DIV/0!</v>
      </c>
      <c r="S14" s="86" t="e">
        <f t="shared" si="6"/>
        <v>#DIV/0!</v>
      </c>
      <c r="T14" s="63" t="e">
        <f t="shared" ref="T14:T24" si="11">+S14/J14*100</f>
        <v>#DIV/0!</v>
      </c>
      <c r="U14" s="88" t="s">
        <v>24</v>
      </c>
      <c r="V14" s="89" t="s">
        <v>42</v>
      </c>
    </row>
    <row r="15" spans="1:24" s="65" customFormat="1" ht="21" customHeight="1" x14ac:dyDescent="0.2">
      <c r="A15" s="78" t="s">
        <v>74</v>
      </c>
      <c r="B15" s="91"/>
      <c r="C15" s="97">
        <f>+C14</f>
        <v>45614</v>
      </c>
      <c r="D15" s="98"/>
      <c r="E15" s="99"/>
      <c r="F15" s="97">
        <f t="shared" si="9"/>
        <v>45670</v>
      </c>
      <c r="G15" s="98"/>
      <c r="H15" s="99"/>
      <c r="I15" s="12">
        <v>56</v>
      </c>
      <c r="J15" s="79">
        <v>28</v>
      </c>
      <c r="K15" s="80" t="e">
        <f t="shared" si="0"/>
        <v>#DIV/0!</v>
      </c>
      <c r="L15" s="81" t="e">
        <f>+AVERAGE(Q47:S47)/10</f>
        <v>#DIV/0!</v>
      </c>
      <c r="M15" s="81" t="e">
        <f t="shared" si="8"/>
        <v>#DIV/0!</v>
      </c>
      <c r="N15" s="81" t="e">
        <f t="shared" si="1"/>
        <v>#DIV/0!</v>
      </c>
      <c r="O15" s="82">
        <f t="shared" si="10"/>
        <v>0</v>
      </c>
      <c r="P15" s="83" t="e">
        <f t="shared" si="3"/>
        <v>#DIV/0!</v>
      </c>
      <c r="Q15" s="84">
        <f t="shared" si="4"/>
        <v>0</v>
      </c>
      <c r="R15" s="85" t="e">
        <f t="shared" si="5"/>
        <v>#DIV/0!</v>
      </c>
      <c r="S15" s="86" t="e">
        <f t="shared" si="6"/>
        <v>#DIV/0!</v>
      </c>
      <c r="T15" s="63" t="e">
        <f t="shared" si="11"/>
        <v>#DIV/0!</v>
      </c>
      <c r="U15" s="88" t="s">
        <v>24</v>
      </c>
      <c r="V15" s="89" t="s">
        <v>42</v>
      </c>
    </row>
    <row r="16" spans="1:24" s="36" customFormat="1" ht="21" customHeight="1" x14ac:dyDescent="0.2">
      <c r="A16" s="78">
        <v>984</v>
      </c>
      <c r="B16" s="91" t="s">
        <v>66</v>
      </c>
      <c r="C16" s="97">
        <v>45287</v>
      </c>
      <c r="D16" s="98"/>
      <c r="E16" s="99"/>
      <c r="F16" s="97">
        <f>+C16+I16</f>
        <v>45311</v>
      </c>
      <c r="G16" s="98"/>
      <c r="H16" s="99"/>
      <c r="I16" s="12">
        <v>24</v>
      </c>
      <c r="J16" s="79">
        <v>21</v>
      </c>
      <c r="K16" s="80" t="e">
        <f t="shared" si="0"/>
        <v>#DIV/0!</v>
      </c>
      <c r="L16" s="81" t="e">
        <f t="shared" si="7"/>
        <v>#DIV/0!</v>
      </c>
      <c r="M16" s="81" t="e">
        <f t="shared" si="8"/>
        <v>#DIV/0!</v>
      </c>
      <c r="N16" s="81" t="e">
        <f t="shared" si="1"/>
        <v>#DIV/0!</v>
      </c>
      <c r="O16" s="82">
        <f t="shared" si="10"/>
        <v>0</v>
      </c>
      <c r="P16" s="83" t="e">
        <f t="shared" si="3"/>
        <v>#DIV/0!</v>
      </c>
      <c r="Q16" s="84">
        <f t="shared" si="4"/>
        <v>0</v>
      </c>
      <c r="R16" s="85" t="e">
        <f t="shared" si="5"/>
        <v>#DIV/0!</v>
      </c>
      <c r="S16" s="86" t="e">
        <f t="shared" si="6"/>
        <v>#DIV/0!</v>
      </c>
      <c r="T16" s="63" t="e">
        <f t="shared" si="11"/>
        <v>#DIV/0!</v>
      </c>
      <c r="U16" s="88" t="s">
        <v>24</v>
      </c>
      <c r="V16" s="89" t="s">
        <v>42</v>
      </c>
    </row>
    <row r="17" spans="1:22" s="36" customFormat="1" ht="21" customHeight="1" x14ac:dyDescent="0.2">
      <c r="A17" s="90">
        <v>985</v>
      </c>
      <c r="B17" s="91"/>
      <c r="C17" s="97">
        <v>45287</v>
      </c>
      <c r="D17" s="98"/>
      <c r="E17" s="99"/>
      <c r="F17" s="97">
        <f t="shared" ref="F17:F18" si="12">+C17+I17</f>
        <v>45311</v>
      </c>
      <c r="G17" s="98"/>
      <c r="H17" s="99"/>
      <c r="I17" s="12">
        <v>24</v>
      </c>
      <c r="J17" s="79">
        <v>21</v>
      </c>
      <c r="K17" s="80" t="e">
        <f t="shared" si="0"/>
        <v>#DIV/0!</v>
      </c>
      <c r="L17" s="81" t="e">
        <f t="shared" si="7"/>
        <v>#DIV/0!</v>
      </c>
      <c r="M17" s="81" t="e">
        <f t="shared" si="8"/>
        <v>#DIV/0!</v>
      </c>
      <c r="N17" s="81" t="e">
        <f t="shared" si="1"/>
        <v>#DIV/0!</v>
      </c>
      <c r="O17" s="82">
        <f t="shared" si="10"/>
        <v>0</v>
      </c>
      <c r="P17" s="83" t="e">
        <f t="shared" si="3"/>
        <v>#DIV/0!</v>
      </c>
      <c r="Q17" s="84">
        <f t="shared" si="4"/>
        <v>0</v>
      </c>
      <c r="R17" s="85" t="e">
        <f t="shared" si="5"/>
        <v>#DIV/0!</v>
      </c>
      <c r="S17" s="86" t="e">
        <f t="shared" si="6"/>
        <v>#DIV/0!</v>
      </c>
      <c r="T17" s="63" t="e">
        <f t="shared" si="11"/>
        <v>#DIV/0!</v>
      </c>
      <c r="U17" s="88" t="s">
        <v>24</v>
      </c>
      <c r="V17" s="89" t="s">
        <v>42</v>
      </c>
    </row>
    <row r="18" spans="1:22" s="36" customFormat="1" ht="21" customHeight="1" x14ac:dyDescent="0.2">
      <c r="A18" s="78">
        <v>986</v>
      </c>
      <c r="B18" s="91"/>
      <c r="C18" s="97">
        <v>45287</v>
      </c>
      <c r="D18" s="98"/>
      <c r="E18" s="99"/>
      <c r="F18" s="97">
        <f t="shared" si="12"/>
        <v>45311</v>
      </c>
      <c r="G18" s="98"/>
      <c r="H18" s="99"/>
      <c r="I18" s="12">
        <v>24</v>
      </c>
      <c r="J18" s="79">
        <v>21</v>
      </c>
      <c r="K18" s="80" t="e">
        <f t="shared" si="0"/>
        <v>#DIV/0!</v>
      </c>
      <c r="L18" s="81" t="e">
        <f t="shared" si="7"/>
        <v>#DIV/0!</v>
      </c>
      <c r="M18" s="81" t="e">
        <f t="shared" si="8"/>
        <v>#DIV/0!</v>
      </c>
      <c r="N18" s="81" t="e">
        <f t="shared" si="1"/>
        <v>#DIV/0!</v>
      </c>
      <c r="O18" s="82">
        <f t="shared" si="10"/>
        <v>0</v>
      </c>
      <c r="P18" s="83" t="e">
        <f t="shared" si="3"/>
        <v>#DIV/0!</v>
      </c>
      <c r="Q18" s="84">
        <f t="shared" si="4"/>
        <v>0</v>
      </c>
      <c r="R18" s="85" t="e">
        <f t="shared" si="5"/>
        <v>#DIV/0!</v>
      </c>
      <c r="S18" s="86" t="e">
        <f t="shared" si="6"/>
        <v>#DIV/0!</v>
      </c>
      <c r="T18" s="63" t="e">
        <f t="shared" si="11"/>
        <v>#DIV/0!</v>
      </c>
      <c r="U18" s="88" t="s">
        <v>24</v>
      </c>
      <c r="V18" s="89" t="s">
        <v>42</v>
      </c>
    </row>
    <row r="19" spans="1:22" ht="21" customHeight="1" x14ac:dyDescent="0.2">
      <c r="A19" s="78">
        <v>987</v>
      </c>
      <c r="B19" s="91" t="s">
        <v>67</v>
      </c>
      <c r="C19" s="97">
        <v>45294</v>
      </c>
      <c r="D19" s="98"/>
      <c r="E19" s="99"/>
      <c r="F19" s="97">
        <f>+C19+I19</f>
        <v>45311</v>
      </c>
      <c r="G19" s="98"/>
      <c r="H19" s="99"/>
      <c r="I19" s="12">
        <v>17</v>
      </c>
      <c r="J19" s="79">
        <v>21</v>
      </c>
      <c r="K19" s="26" t="e">
        <f t="shared" si="0"/>
        <v>#DIV/0!</v>
      </c>
      <c r="L19" s="24" t="e">
        <f t="shared" si="7"/>
        <v>#DIV/0!</v>
      </c>
      <c r="M19" s="24" t="e">
        <f t="shared" si="8"/>
        <v>#DIV/0!</v>
      </c>
      <c r="N19" s="24" t="e">
        <f t="shared" si="1"/>
        <v>#DIV/0!</v>
      </c>
      <c r="O19" s="25">
        <f t="shared" si="10"/>
        <v>0</v>
      </c>
      <c r="P19" s="14" t="e">
        <f t="shared" si="3"/>
        <v>#DIV/0!</v>
      </c>
      <c r="Q19" s="13">
        <f t="shared" si="4"/>
        <v>0</v>
      </c>
      <c r="R19" s="15" t="e">
        <f t="shared" si="5"/>
        <v>#DIV/0!</v>
      </c>
      <c r="S19" s="16" t="e">
        <f t="shared" si="6"/>
        <v>#DIV/0!</v>
      </c>
      <c r="T19" s="63" t="e">
        <f t="shared" si="11"/>
        <v>#DIV/0!</v>
      </c>
      <c r="U19" s="17" t="s">
        <v>24</v>
      </c>
      <c r="V19" s="18" t="s">
        <v>42</v>
      </c>
    </row>
    <row r="20" spans="1:22" ht="21" customHeight="1" x14ac:dyDescent="0.2">
      <c r="A20" s="78">
        <v>988</v>
      </c>
      <c r="B20" s="91"/>
      <c r="C20" s="97">
        <f>+C19</f>
        <v>45294</v>
      </c>
      <c r="D20" s="98"/>
      <c r="E20" s="99"/>
      <c r="F20" s="97">
        <f t="shared" ref="F20:F21" si="13">+C20+I20</f>
        <v>45311</v>
      </c>
      <c r="G20" s="98"/>
      <c r="H20" s="99"/>
      <c r="I20" s="12">
        <v>17</v>
      </c>
      <c r="J20" s="79">
        <v>21</v>
      </c>
      <c r="K20" s="26" t="e">
        <f t="shared" si="0"/>
        <v>#DIV/0!</v>
      </c>
      <c r="L20" s="24" t="e">
        <f t="shared" si="7"/>
        <v>#DIV/0!</v>
      </c>
      <c r="M20" s="24" t="e">
        <f t="shared" si="8"/>
        <v>#DIV/0!</v>
      </c>
      <c r="N20" s="24" t="e">
        <f t="shared" si="1"/>
        <v>#DIV/0!</v>
      </c>
      <c r="O20" s="25">
        <f t="shared" si="10"/>
        <v>0</v>
      </c>
      <c r="P20" s="14" t="e">
        <f t="shared" si="3"/>
        <v>#DIV/0!</v>
      </c>
      <c r="Q20" s="13">
        <f t="shared" si="4"/>
        <v>0</v>
      </c>
      <c r="R20" s="15" t="e">
        <f t="shared" si="5"/>
        <v>#DIV/0!</v>
      </c>
      <c r="S20" s="16" t="e">
        <f t="shared" si="6"/>
        <v>#DIV/0!</v>
      </c>
      <c r="T20" s="63" t="e">
        <f t="shared" si="11"/>
        <v>#DIV/0!</v>
      </c>
      <c r="U20" s="17" t="s">
        <v>24</v>
      </c>
      <c r="V20" s="18" t="s">
        <v>42</v>
      </c>
    </row>
    <row r="21" spans="1:22" ht="21" customHeight="1" x14ac:dyDescent="0.2">
      <c r="A21" s="78">
        <v>989</v>
      </c>
      <c r="B21" s="91"/>
      <c r="C21" s="97">
        <f>+C20</f>
        <v>45294</v>
      </c>
      <c r="D21" s="98"/>
      <c r="E21" s="99"/>
      <c r="F21" s="97">
        <f t="shared" si="13"/>
        <v>45311</v>
      </c>
      <c r="G21" s="98"/>
      <c r="H21" s="99"/>
      <c r="I21" s="12">
        <v>17</v>
      </c>
      <c r="J21" s="79">
        <v>21</v>
      </c>
      <c r="K21" s="26" t="e">
        <f t="shared" si="0"/>
        <v>#DIV/0!</v>
      </c>
      <c r="L21" s="24" t="e">
        <f t="shared" si="7"/>
        <v>#DIV/0!</v>
      </c>
      <c r="M21" s="24" t="e">
        <f t="shared" si="8"/>
        <v>#DIV/0!</v>
      </c>
      <c r="N21" s="24" t="e">
        <f t="shared" si="1"/>
        <v>#DIV/0!</v>
      </c>
      <c r="O21" s="25">
        <f t="shared" si="10"/>
        <v>0</v>
      </c>
      <c r="P21" s="14" t="e">
        <f t="shared" si="3"/>
        <v>#DIV/0!</v>
      </c>
      <c r="Q21" s="13">
        <f t="shared" si="4"/>
        <v>0</v>
      </c>
      <c r="R21" s="15" t="e">
        <f t="shared" si="5"/>
        <v>#DIV/0!</v>
      </c>
      <c r="S21" s="16" t="e">
        <f t="shared" si="6"/>
        <v>#DIV/0!</v>
      </c>
      <c r="T21" s="63" t="e">
        <f t="shared" si="11"/>
        <v>#DIV/0!</v>
      </c>
      <c r="U21" s="17" t="s">
        <v>24</v>
      </c>
      <c r="V21" s="18" t="s">
        <v>42</v>
      </c>
    </row>
    <row r="22" spans="1:22" ht="21" customHeight="1" x14ac:dyDescent="0.2">
      <c r="A22" s="11">
        <v>990</v>
      </c>
      <c r="B22" s="91" t="s">
        <v>68</v>
      </c>
      <c r="C22" s="97">
        <v>45302</v>
      </c>
      <c r="D22" s="98"/>
      <c r="E22" s="99"/>
      <c r="F22" s="97">
        <f>+C22+I22</f>
        <v>45311</v>
      </c>
      <c r="G22" s="98"/>
      <c r="H22" s="99"/>
      <c r="I22" s="12">
        <v>9</v>
      </c>
      <c r="J22" s="12">
        <v>21</v>
      </c>
      <c r="K22" s="26" t="e">
        <f t="shared" si="0"/>
        <v>#DIV/0!</v>
      </c>
      <c r="L22" s="24" t="e">
        <f t="shared" si="7"/>
        <v>#DIV/0!</v>
      </c>
      <c r="M22" s="24" t="e">
        <f t="shared" si="8"/>
        <v>#DIV/0!</v>
      </c>
      <c r="N22" s="24" t="e">
        <f t="shared" si="1"/>
        <v>#DIV/0!</v>
      </c>
      <c r="O22" s="25">
        <f t="shared" si="10"/>
        <v>0</v>
      </c>
      <c r="P22" s="14" t="e">
        <f t="shared" si="3"/>
        <v>#DIV/0!</v>
      </c>
      <c r="Q22" s="13">
        <f t="shared" si="4"/>
        <v>0</v>
      </c>
      <c r="R22" s="15" t="e">
        <f t="shared" si="5"/>
        <v>#DIV/0!</v>
      </c>
      <c r="S22" s="16" t="e">
        <f t="shared" si="6"/>
        <v>#DIV/0!</v>
      </c>
      <c r="T22" s="63" t="e">
        <f t="shared" si="11"/>
        <v>#DIV/0!</v>
      </c>
      <c r="U22" s="17" t="s">
        <v>24</v>
      </c>
      <c r="V22" s="18" t="s">
        <v>42</v>
      </c>
    </row>
    <row r="23" spans="1:22" ht="21" customHeight="1" x14ac:dyDescent="0.2">
      <c r="A23" s="11">
        <v>991</v>
      </c>
      <c r="B23" s="91"/>
      <c r="C23" s="97">
        <f>+C22</f>
        <v>45302</v>
      </c>
      <c r="D23" s="98"/>
      <c r="E23" s="99"/>
      <c r="F23" s="97">
        <f t="shared" ref="F23:F24" si="14">+C23+I23</f>
        <v>45311</v>
      </c>
      <c r="G23" s="98"/>
      <c r="H23" s="99"/>
      <c r="I23" s="12">
        <v>9</v>
      </c>
      <c r="J23" s="12">
        <v>21</v>
      </c>
      <c r="K23" s="26" t="e">
        <f t="shared" si="0"/>
        <v>#DIV/0!</v>
      </c>
      <c r="L23" s="24" t="e">
        <f t="shared" si="7"/>
        <v>#DIV/0!</v>
      </c>
      <c r="M23" s="24" t="e">
        <f t="shared" si="8"/>
        <v>#DIV/0!</v>
      </c>
      <c r="N23" s="24" t="e">
        <f t="shared" si="1"/>
        <v>#DIV/0!</v>
      </c>
      <c r="O23" s="25">
        <f t="shared" si="10"/>
        <v>0</v>
      </c>
      <c r="P23" s="14" t="e">
        <f t="shared" si="3"/>
        <v>#DIV/0!</v>
      </c>
      <c r="Q23" s="13">
        <f t="shared" si="4"/>
        <v>0</v>
      </c>
      <c r="R23" s="15" t="e">
        <f t="shared" si="5"/>
        <v>#DIV/0!</v>
      </c>
      <c r="S23" s="16" t="e">
        <f t="shared" si="6"/>
        <v>#DIV/0!</v>
      </c>
      <c r="T23" s="63" t="e">
        <f t="shared" si="11"/>
        <v>#DIV/0!</v>
      </c>
      <c r="U23" s="17" t="s">
        <v>24</v>
      </c>
      <c r="V23" s="18" t="s">
        <v>42</v>
      </c>
    </row>
    <row r="24" spans="1:22" ht="21" customHeight="1" x14ac:dyDescent="0.2">
      <c r="A24" s="11">
        <v>992</v>
      </c>
      <c r="B24" s="91"/>
      <c r="C24" s="97">
        <f>+C23</f>
        <v>45302</v>
      </c>
      <c r="D24" s="98"/>
      <c r="E24" s="99"/>
      <c r="F24" s="97">
        <f t="shared" si="14"/>
        <v>45311</v>
      </c>
      <c r="G24" s="98"/>
      <c r="H24" s="99"/>
      <c r="I24" s="12">
        <v>9</v>
      </c>
      <c r="J24" s="12">
        <v>21</v>
      </c>
      <c r="K24" s="26" t="e">
        <f t="shared" si="0"/>
        <v>#DIV/0!</v>
      </c>
      <c r="L24" s="24" t="e">
        <f t="shared" si="7"/>
        <v>#DIV/0!</v>
      </c>
      <c r="M24" s="24" t="e">
        <f t="shared" si="8"/>
        <v>#DIV/0!</v>
      </c>
      <c r="N24" s="24" t="e">
        <f t="shared" si="1"/>
        <v>#DIV/0!</v>
      </c>
      <c r="O24" s="25">
        <f t="shared" si="10"/>
        <v>0</v>
      </c>
      <c r="P24" s="14" t="e">
        <f t="shared" si="3"/>
        <v>#DIV/0!</v>
      </c>
      <c r="Q24" s="13">
        <f t="shared" si="4"/>
        <v>0</v>
      </c>
      <c r="R24" s="15" t="e">
        <f t="shared" si="5"/>
        <v>#DIV/0!</v>
      </c>
      <c r="S24" s="16" t="e">
        <f t="shared" si="6"/>
        <v>#DIV/0!</v>
      </c>
      <c r="T24" s="63" t="e">
        <f t="shared" si="11"/>
        <v>#DIV/0!</v>
      </c>
      <c r="U24" s="17" t="s">
        <v>24</v>
      </c>
      <c r="V24" s="18" t="s">
        <v>42</v>
      </c>
    </row>
    <row r="25" spans="1:22" x14ac:dyDescent="0.2">
      <c r="A25" s="8"/>
      <c r="C25" s="23" t="s">
        <v>25</v>
      </c>
      <c r="U25" s="103" t="s">
        <v>31</v>
      </c>
      <c r="V25" s="104"/>
    </row>
    <row r="26" spans="1:22" x14ac:dyDescent="0.2">
      <c r="A26" s="8" t="s">
        <v>20</v>
      </c>
      <c r="C26" s="8"/>
    </row>
    <row r="27" spans="1:22" x14ac:dyDescent="0.2">
      <c r="A27" s="8"/>
      <c r="C27" s="8"/>
    </row>
    <row r="28" spans="1:22" x14ac:dyDescent="0.2">
      <c r="A28" s="8"/>
      <c r="B28" s="75" t="s">
        <v>55</v>
      </c>
      <c r="C28" s="73"/>
      <c r="D28" s="74" t="s">
        <v>73</v>
      </c>
    </row>
    <row r="29" spans="1:22" x14ac:dyDescent="0.2">
      <c r="A29" s="8"/>
      <c r="B29" s="75" t="s">
        <v>57</v>
      </c>
      <c r="C29" s="73"/>
    </row>
    <row r="30" spans="1:22" ht="12" customHeight="1" x14ac:dyDescent="0.2">
      <c r="B30" s="75" t="s">
        <v>56</v>
      </c>
      <c r="C30" s="73"/>
    </row>
    <row r="31" spans="1:22" x14ac:dyDescent="0.2">
      <c r="A31" s="103" t="s">
        <v>21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4"/>
      <c r="L31" s="103" t="s">
        <v>22</v>
      </c>
      <c r="M31" s="105"/>
      <c r="N31" s="105"/>
      <c r="O31" s="105"/>
      <c r="P31" s="105"/>
      <c r="Q31" s="105"/>
      <c r="R31" s="105"/>
      <c r="S31" s="105"/>
      <c r="T31" s="105"/>
      <c r="U31" s="105"/>
      <c r="V31" s="104"/>
    </row>
    <row r="32" spans="1:22" ht="4.5" customHeight="1" x14ac:dyDescent="0.2">
      <c r="A32" s="10"/>
      <c r="B32" s="8"/>
      <c r="C32" s="8"/>
      <c r="D32" s="8"/>
      <c r="E32" s="9"/>
      <c r="F32" s="8"/>
      <c r="G32" s="8"/>
      <c r="H32" s="8"/>
      <c r="I32" s="8"/>
      <c r="J32" s="8"/>
      <c r="K32" s="8"/>
      <c r="L32" s="10"/>
      <c r="M32" s="8"/>
      <c r="N32" s="8"/>
      <c r="O32" s="8"/>
      <c r="P32" s="8"/>
      <c r="Q32" s="8"/>
      <c r="R32" s="9"/>
      <c r="S32" s="8"/>
      <c r="T32" s="8"/>
      <c r="U32" s="8"/>
      <c r="V32" s="19"/>
    </row>
    <row r="33" spans="1:26" x14ac:dyDescent="0.2">
      <c r="A33" s="10"/>
      <c r="B33" s="35" t="s">
        <v>34</v>
      </c>
      <c r="C33" s="8"/>
      <c r="D33" s="8"/>
      <c r="E33" s="8"/>
      <c r="F33" s="8"/>
      <c r="G33" s="8"/>
      <c r="H33" s="8"/>
      <c r="I33" s="8"/>
      <c r="J33" s="8"/>
      <c r="K33" s="8"/>
      <c r="L33" s="10"/>
      <c r="M33" s="8"/>
      <c r="N33" s="8"/>
      <c r="O33" s="8"/>
      <c r="P33" s="8"/>
      <c r="Q33" s="8"/>
      <c r="R33" s="8"/>
      <c r="S33" s="8"/>
      <c r="T33" s="8"/>
      <c r="U33" s="8"/>
      <c r="V33" s="19"/>
    </row>
    <row r="34" spans="1:26" ht="12.75" customHeight="1" x14ac:dyDescent="0.2">
      <c r="A34" s="10"/>
      <c r="B34" s="106" t="s">
        <v>35</v>
      </c>
      <c r="C34" s="106"/>
      <c r="D34" s="106"/>
      <c r="E34" s="106"/>
      <c r="F34" s="106"/>
      <c r="G34" s="106"/>
      <c r="H34" s="106"/>
      <c r="I34" s="106"/>
      <c r="J34" s="59"/>
      <c r="K34" s="37"/>
      <c r="L34" s="10"/>
      <c r="M34" s="36" t="s">
        <v>23</v>
      </c>
      <c r="N34" s="8"/>
      <c r="O34" s="8"/>
      <c r="P34" s="8"/>
      <c r="Q34" s="8"/>
      <c r="R34" s="8"/>
      <c r="S34" s="8"/>
      <c r="T34" s="8"/>
      <c r="U34" s="8"/>
      <c r="V34" s="19"/>
    </row>
    <row r="35" spans="1:26" x14ac:dyDescent="0.2">
      <c r="A35" s="10" t="s">
        <v>23</v>
      </c>
      <c r="B35" s="101" t="s">
        <v>36</v>
      </c>
      <c r="C35" s="101"/>
      <c r="D35" s="101"/>
      <c r="E35" s="101"/>
      <c r="F35" s="101"/>
      <c r="G35" s="101"/>
      <c r="H35" s="101"/>
      <c r="I35" s="101"/>
      <c r="J35" s="60"/>
      <c r="K35" s="8"/>
      <c r="L35" s="10"/>
      <c r="M35" s="8"/>
      <c r="N35" s="8"/>
      <c r="O35" s="8"/>
      <c r="P35" s="8"/>
      <c r="Q35" s="8"/>
      <c r="R35" s="8"/>
      <c r="S35" s="8"/>
      <c r="T35" s="8"/>
      <c r="U35" s="8"/>
      <c r="V35" s="19"/>
    </row>
    <row r="36" spans="1:26" x14ac:dyDescent="0.2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0"/>
      <c r="M36" s="21"/>
      <c r="N36" s="21"/>
      <c r="O36" s="21"/>
      <c r="P36" s="21"/>
      <c r="Q36" s="21"/>
      <c r="R36" s="21"/>
      <c r="S36" s="21"/>
      <c r="T36" s="21"/>
      <c r="U36" s="21"/>
      <c r="V36" s="22"/>
    </row>
    <row r="37" spans="1:26" x14ac:dyDescent="0.2">
      <c r="A37" s="34" t="s">
        <v>71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3"/>
    </row>
    <row r="38" spans="1:26" x14ac:dyDescent="0.2">
      <c r="A38" s="102" t="s">
        <v>33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</row>
    <row r="39" spans="1:26" x14ac:dyDescent="0.2">
      <c r="A39" s="34" t="s">
        <v>58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</row>
    <row r="40" spans="1:26" x14ac:dyDescent="0.2">
      <c r="A40" s="100" t="s">
        <v>47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</row>
    <row r="41" spans="1:26" ht="13.5" thickBot="1" x14ac:dyDescent="0.25">
      <c r="W41" s="36" t="s">
        <v>38</v>
      </c>
      <c r="X41" s="36" t="s">
        <v>39</v>
      </c>
      <c r="Y41" s="36" t="s">
        <v>40</v>
      </c>
      <c r="Z41" s="36" t="s">
        <v>41</v>
      </c>
    </row>
    <row r="42" spans="1:26" x14ac:dyDescent="0.2">
      <c r="M42" s="68">
        <v>50</v>
      </c>
      <c r="N42" s="68">
        <v>50</v>
      </c>
      <c r="O42" s="68">
        <v>50</v>
      </c>
      <c r="P42" s="70"/>
      <c r="Q42" s="68">
        <v>50</v>
      </c>
      <c r="R42" s="68">
        <v>50.1</v>
      </c>
      <c r="S42" s="68">
        <v>50.2</v>
      </c>
      <c r="W42" s="68">
        <v>246</v>
      </c>
      <c r="X42" s="68">
        <v>68.58</v>
      </c>
    </row>
    <row r="43" spans="1:26" ht="13.5" thickBot="1" x14ac:dyDescent="0.25">
      <c r="M43" s="64">
        <v>50</v>
      </c>
      <c r="N43" s="64">
        <v>50</v>
      </c>
      <c r="O43" s="64">
        <v>50</v>
      </c>
      <c r="Q43" s="64">
        <v>50.1</v>
      </c>
      <c r="R43" s="64">
        <v>50.2</v>
      </c>
      <c r="S43" s="64">
        <v>50.3</v>
      </c>
      <c r="T43" s="69"/>
      <c r="W43" s="64">
        <v>261</v>
      </c>
      <c r="X43" s="64">
        <v>68.400000000000006</v>
      </c>
    </row>
    <row r="44" spans="1:26" x14ac:dyDescent="0.2">
      <c r="M44" s="68"/>
      <c r="N44" s="68"/>
      <c r="O44" s="68"/>
      <c r="P44" s="70"/>
      <c r="Q44" s="68"/>
      <c r="R44" s="68"/>
      <c r="S44" s="68"/>
      <c r="W44" s="68"/>
      <c r="X44" s="68"/>
    </row>
    <row r="45" spans="1:26" x14ac:dyDescent="0.2">
      <c r="M45" s="64"/>
      <c r="N45" s="64"/>
      <c r="O45" s="64"/>
      <c r="Q45" s="64"/>
      <c r="R45" s="64"/>
      <c r="S45" s="64"/>
      <c r="W45" s="64"/>
      <c r="X45" s="64"/>
    </row>
    <row r="46" spans="1:26" x14ac:dyDescent="0.2">
      <c r="M46" s="92"/>
      <c r="N46" s="92"/>
      <c r="O46" s="92"/>
      <c r="Q46" s="92"/>
      <c r="R46" s="92"/>
      <c r="S46" s="92"/>
      <c r="T46" s="71"/>
      <c r="W46" s="92"/>
      <c r="X46" s="92"/>
    </row>
    <row r="47" spans="1:26" ht="13.5" thickBot="1" x14ac:dyDescent="0.25">
      <c r="M47" s="92"/>
      <c r="N47" s="92"/>
      <c r="O47" s="92"/>
      <c r="Q47" s="92"/>
      <c r="R47" s="92"/>
      <c r="S47" s="92"/>
      <c r="W47" s="92"/>
      <c r="X47" s="92"/>
    </row>
    <row r="48" spans="1:26" x14ac:dyDescent="0.2">
      <c r="M48" s="46"/>
      <c r="N48" s="46"/>
      <c r="O48" s="46"/>
      <c r="Q48" s="46"/>
      <c r="R48" s="46"/>
      <c r="S48" s="46"/>
      <c r="W48" s="46"/>
      <c r="X48" s="68"/>
    </row>
    <row r="49" spans="13:24" x14ac:dyDescent="0.2">
      <c r="M49" s="46"/>
      <c r="N49" s="46"/>
      <c r="O49" s="46"/>
      <c r="Q49" s="46"/>
      <c r="R49" s="46"/>
      <c r="S49" s="46"/>
      <c r="W49" s="46"/>
      <c r="X49" s="64"/>
    </row>
    <row r="50" spans="13:24" ht="13.5" thickBot="1" x14ac:dyDescent="0.25">
      <c r="M50" s="46"/>
      <c r="N50" s="46"/>
      <c r="O50" s="46"/>
      <c r="Q50" s="46"/>
      <c r="R50" s="46"/>
      <c r="S50" s="46"/>
      <c r="W50" s="46"/>
      <c r="X50" s="64"/>
    </row>
    <row r="51" spans="13:24" x14ac:dyDescent="0.2">
      <c r="M51" s="46"/>
      <c r="N51" s="46"/>
      <c r="O51" s="46"/>
      <c r="Q51" s="46"/>
      <c r="R51" s="46"/>
      <c r="S51" s="46"/>
      <c r="W51" s="46"/>
      <c r="X51" s="68"/>
    </row>
    <row r="52" spans="13:24" x14ac:dyDescent="0.2">
      <c r="M52" s="46"/>
      <c r="N52" s="46"/>
      <c r="O52" s="46"/>
      <c r="Q52" s="46"/>
      <c r="R52" s="46"/>
      <c r="S52" s="46"/>
      <c r="W52" s="46"/>
      <c r="X52" s="64"/>
    </row>
    <row r="53" spans="13:24" ht="13.5" thickBot="1" x14ac:dyDescent="0.25">
      <c r="M53" s="46"/>
      <c r="N53" s="46"/>
      <c r="O53" s="46"/>
      <c r="Q53" s="46"/>
      <c r="R53" s="46"/>
      <c r="S53" s="46"/>
      <c r="W53" s="46"/>
      <c r="X53" s="64"/>
    </row>
    <row r="54" spans="13:24" x14ac:dyDescent="0.2">
      <c r="M54" s="46"/>
      <c r="N54" s="46"/>
      <c r="O54" s="46"/>
      <c r="Q54" s="46"/>
      <c r="R54" s="46"/>
      <c r="S54" s="46"/>
      <c r="W54" s="46"/>
      <c r="X54" s="68"/>
    </row>
    <row r="55" spans="13:24" x14ac:dyDescent="0.2">
      <c r="M55" s="46"/>
      <c r="N55" s="46"/>
      <c r="O55" s="46"/>
      <c r="Q55" s="46"/>
      <c r="R55" s="46"/>
      <c r="S55" s="46"/>
      <c r="W55" s="46"/>
      <c r="X55" s="64"/>
    </row>
    <row r="56" spans="13:24" ht="13.5" thickBot="1" x14ac:dyDescent="0.25">
      <c r="M56" s="46"/>
      <c r="N56" s="46"/>
      <c r="O56" s="46"/>
      <c r="Q56" s="46"/>
      <c r="R56" s="46"/>
      <c r="S56" s="46"/>
      <c r="W56" s="46"/>
      <c r="X56" s="64"/>
    </row>
    <row r="57" spans="13:24" x14ac:dyDescent="0.2">
      <c r="M57" s="46"/>
      <c r="N57" s="46"/>
      <c r="O57" s="46"/>
      <c r="Q57" s="46"/>
      <c r="R57" s="46"/>
      <c r="S57" s="46"/>
      <c r="W57" s="46"/>
      <c r="X57" s="68"/>
    </row>
    <row r="58" spans="13:24" x14ac:dyDescent="0.2">
      <c r="M58" s="46"/>
      <c r="N58" s="46"/>
      <c r="O58" s="46"/>
      <c r="Q58" s="46"/>
      <c r="R58" s="46"/>
      <c r="S58" s="46"/>
      <c r="W58" s="46"/>
      <c r="X58" s="64"/>
    </row>
    <row r="59" spans="13:24" ht="13.5" thickBot="1" x14ac:dyDescent="0.25">
      <c r="M59" s="46"/>
      <c r="N59" s="46"/>
      <c r="O59" s="46"/>
      <c r="Q59" s="46"/>
      <c r="R59" s="46"/>
      <c r="S59" s="46"/>
      <c r="W59" s="46"/>
      <c r="X59" s="64"/>
    </row>
    <row r="60" spans="13:24" x14ac:dyDescent="0.2">
      <c r="M60" s="46"/>
      <c r="N60" s="46"/>
      <c r="O60" s="46"/>
      <c r="Q60" s="46"/>
      <c r="R60" s="46"/>
      <c r="S60" s="46"/>
      <c r="W60" s="46"/>
      <c r="X60" s="68"/>
    </row>
    <row r="61" spans="13:24" x14ac:dyDescent="0.2">
      <c r="M61" s="46"/>
      <c r="N61" s="46"/>
      <c r="O61" s="46"/>
      <c r="Q61" s="46"/>
      <c r="R61" s="46"/>
      <c r="S61" s="46"/>
      <c r="W61" s="46"/>
      <c r="X61" s="64"/>
    </row>
    <row r="62" spans="13:24" x14ac:dyDescent="0.2">
      <c r="M62" s="46"/>
      <c r="N62" s="46"/>
      <c r="O62" s="46"/>
      <c r="Q62" s="46"/>
      <c r="R62" s="46"/>
      <c r="S62" s="46"/>
      <c r="W62" s="46"/>
      <c r="X62" s="64"/>
    </row>
    <row r="63" spans="13:24" x14ac:dyDescent="0.2">
      <c r="M63" s="46"/>
      <c r="N63" s="46"/>
      <c r="O63" s="46"/>
      <c r="Q63" s="46"/>
      <c r="R63" s="46"/>
      <c r="S63" s="46"/>
      <c r="W63" s="46"/>
      <c r="X63" s="46"/>
    </row>
  </sheetData>
  <dataConsolidate/>
  <mergeCells count="54">
    <mergeCell ref="B12:B13"/>
    <mergeCell ref="C10:E10"/>
    <mergeCell ref="F10:H10"/>
    <mergeCell ref="C11:E11"/>
    <mergeCell ref="F11:H11"/>
    <mergeCell ref="B10:B11"/>
    <mergeCell ref="C12:E12"/>
    <mergeCell ref="F12:H12"/>
    <mergeCell ref="B8:B9"/>
    <mergeCell ref="B6:V6"/>
    <mergeCell ref="B7:L7"/>
    <mergeCell ref="M7:N7"/>
    <mergeCell ref="O7:Q7"/>
    <mergeCell ref="R7:T7"/>
    <mergeCell ref="U7:V7"/>
    <mergeCell ref="Q8:Q9"/>
    <mergeCell ref="V8:V9"/>
    <mergeCell ref="A4:V4"/>
    <mergeCell ref="A1:C3"/>
    <mergeCell ref="D1:T3"/>
    <mergeCell ref="U1:V1"/>
    <mergeCell ref="U2:V2"/>
    <mergeCell ref="U3:V3"/>
    <mergeCell ref="C14:E14"/>
    <mergeCell ref="F14:H14"/>
    <mergeCell ref="C15:E15"/>
    <mergeCell ref="F15:H15"/>
    <mergeCell ref="C13:E13"/>
    <mergeCell ref="F13:H13"/>
    <mergeCell ref="A40:V40"/>
    <mergeCell ref="F22:H22"/>
    <mergeCell ref="B35:I35"/>
    <mergeCell ref="A38:V38"/>
    <mergeCell ref="C24:E24"/>
    <mergeCell ref="F24:H24"/>
    <mergeCell ref="U25:V25"/>
    <mergeCell ref="A31:K31"/>
    <mergeCell ref="L31:V31"/>
    <mergeCell ref="B34:I34"/>
    <mergeCell ref="C23:E23"/>
    <mergeCell ref="F23:H23"/>
    <mergeCell ref="C22:E22"/>
    <mergeCell ref="C16:E16"/>
    <mergeCell ref="C20:E20"/>
    <mergeCell ref="F16:H16"/>
    <mergeCell ref="F19:H19"/>
    <mergeCell ref="F20:H20"/>
    <mergeCell ref="C21:E21"/>
    <mergeCell ref="F21:H21"/>
    <mergeCell ref="C17:E17"/>
    <mergeCell ref="F17:H17"/>
    <mergeCell ref="C18:E18"/>
    <mergeCell ref="F18:H18"/>
    <mergeCell ref="C19:E19"/>
  </mergeCells>
  <dataValidations disablePrompts="1" count="1">
    <dataValidation type="list" allowBlank="1" showInputMessage="1" showErrorMessage="1" sqref="A4:V4" xr:uid="{00000000-0002-0000-0000-000000000000}">
      <formula1>$X$4:$X$8</formula1>
    </dataValidation>
  </dataValidations>
  <printOptions horizontalCentered="1" verticalCentered="1"/>
  <pageMargins left="1.2649999999999999" right="0.7" top="0.75" bottom="0.75" header="0.3" footer="0.3"/>
  <pageSetup paperSize="9" scale="70" orientation="landscape" horizontalDpi="300" verticalDpi="300" r:id="rId1"/>
  <headerFooter alignWithMargins="0"/>
  <colBreaks count="2" manualBreakCount="2">
    <brk id="22" max="35" man="1"/>
    <brk id="23" max="1048575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63"/>
  <sheetViews>
    <sheetView view="pageBreakPreview" zoomScale="90" zoomScaleNormal="100" zoomScaleSheetLayoutView="90" workbookViewId="0">
      <selection activeCell="T11" sqref="T11"/>
    </sheetView>
  </sheetViews>
  <sheetFormatPr baseColWidth="10" defaultColWidth="11.42578125" defaultRowHeight="12.75" x14ac:dyDescent="0.2"/>
  <cols>
    <col min="1" max="1" width="6.7109375" customWidth="1"/>
    <col min="2" max="2" width="26.7109375" customWidth="1"/>
    <col min="3" max="8" width="4.7109375" customWidth="1"/>
    <col min="9" max="9" width="5.7109375" customWidth="1"/>
    <col min="10" max="10" width="9.85546875" customWidth="1"/>
    <col min="11" max="11" width="6.28515625" customWidth="1"/>
    <col min="12" max="15" width="5.7109375" customWidth="1"/>
    <col min="16" max="16" width="8" customWidth="1"/>
    <col min="17" max="17" width="7.42578125" customWidth="1"/>
    <col min="18" max="18" width="7" customWidth="1"/>
    <col min="19" max="19" width="5.7109375" customWidth="1"/>
    <col min="20" max="20" width="9" customWidth="1"/>
    <col min="21" max="21" width="11.28515625" customWidth="1"/>
    <col min="22" max="22" width="9.7109375" customWidth="1"/>
    <col min="23" max="23" width="6" customWidth="1"/>
    <col min="24" max="24" width="7.5703125" customWidth="1"/>
    <col min="25" max="25" width="6.85546875" customWidth="1"/>
  </cols>
  <sheetData>
    <row r="1" spans="1:24" ht="19.5" customHeight="1" x14ac:dyDescent="0.2">
      <c r="A1" s="108"/>
      <c r="B1" s="109"/>
      <c r="C1" s="110"/>
      <c r="D1" s="117" t="s">
        <v>30</v>
      </c>
      <c r="E1" s="118"/>
      <c r="F1" s="118"/>
      <c r="G1" s="118"/>
      <c r="H1" s="118"/>
      <c r="I1" s="118"/>
      <c r="J1" s="118"/>
      <c r="K1" s="118"/>
      <c r="L1" s="118"/>
      <c r="M1" s="118"/>
      <c r="N1" s="118"/>
      <c r="O1" s="118"/>
      <c r="P1" s="118"/>
      <c r="Q1" s="118"/>
      <c r="R1" s="118"/>
      <c r="S1" s="118"/>
      <c r="T1" s="119"/>
      <c r="U1" s="126" t="s">
        <v>37</v>
      </c>
      <c r="V1" s="127"/>
    </row>
    <row r="2" spans="1:24" ht="19.5" customHeight="1" x14ac:dyDescent="0.2">
      <c r="A2" s="111"/>
      <c r="B2" s="112"/>
      <c r="C2" s="113"/>
      <c r="D2" s="120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2"/>
      <c r="U2" s="128" t="s">
        <v>53</v>
      </c>
      <c r="V2" s="129"/>
    </row>
    <row r="3" spans="1:24" ht="29.1" customHeight="1" x14ac:dyDescent="0.2">
      <c r="A3" s="114"/>
      <c r="B3" s="115"/>
      <c r="C3" s="116"/>
      <c r="D3" s="123"/>
      <c r="E3" s="124"/>
      <c r="F3" s="124"/>
      <c r="G3" s="124"/>
      <c r="H3" s="124"/>
      <c r="I3" s="124"/>
      <c r="J3" s="124"/>
      <c r="K3" s="124"/>
      <c r="L3" s="124"/>
      <c r="M3" s="124"/>
      <c r="N3" s="124"/>
      <c r="O3" s="124"/>
      <c r="P3" s="124"/>
      <c r="Q3" s="124"/>
      <c r="R3" s="124"/>
      <c r="S3" s="124"/>
      <c r="T3" s="125"/>
      <c r="U3" s="128" t="s">
        <v>54</v>
      </c>
      <c r="V3" s="129"/>
    </row>
    <row r="4" spans="1:24" ht="24" customHeight="1" x14ac:dyDescent="0.2">
      <c r="A4" s="107" t="s">
        <v>46</v>
      </c>
      <c r="B4" s="107"/>
      <c r="C4" s="107"/>
      <c r="D4" s="107"/>
      <c r="E4" s="107"/>
      <c r="F4" s="107"/>
      <c r="G4" s="107"/>
      <c r="H4" s="107"/>
      <c r="I4" s="107"/>
      <c r="J4" s="107"/>
      <c r="K4" s="107"/>
      <c r="L4" s="107"/>
      <c r="M4" s="107"/>
      <c r="N4" s="107"/>
      <c r="O4" s="107"/>
      <c r="P4" s="107"/>
      <c r="Q4" s="107"/>
      <c r="R4" s="107"/>
      <c r="S4" s="107"/>
      <c r="T4" s="107"/>
      <c r="U4" s="107"/>
      <c r="V4" s="107"/>
      <c r="X4" s="36" t="s">
        <v>46</v>
      </c>
    </row>
    <row r="5" spans="1:24" ht="12" customHeight="1" x14ac:dyDescent="0.2">
      <c r="A5" s="27"/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9"/>
      <c r="X5" t="s">
        <v>26</v>
      </c>
    </row>
    <row r="6" spans="1:24" ht="18" customHeight="1" x14ac:dyDescent="0.2">
      <c r="A6" s="30" t="s">
        <v>27</v>
      </c>
      <c r="B6" s="132" t="s">
        <v>51</v>
      </c>
      <c r="C6" s="132"/>
      <c r="D6" s="132"/>
      <c r="E6" s="132"/>
      <c r="F6" s="132"/>
      <c r="G6" s="132"/>
      <c r="H6" s="132"/>
      <c r="I6" s="132"/>
      <c r="J6" s="132"/>
      <c r="K6" s="132"/>
      <c r="L6" s="132"/>
      <c r="M6" s="132"/>
      <c r="N6" s="132"/>
      <c r="O6" s="132"/>
      <c r="P6" s="132"/>
      <c r="Q6" s="132"/>
      <c r="R6" s="132"/>
      <c r="S6" s="132"/>
      <c r="T6" s="132"/>
      <c r="U6" s="132"/>
      <c r="V6" s="133"/>
      <c r="X6" t="s">
        <v>26</v>
      </c>
    </row>
    <row r="7" spans="1:24" ht="18" customHeight="1" x14ac:dyDescent="0.2">
      <c r="A7" s="31" t="s">
        <v>59</v>
      </c>
      <c r="B7" s="134" t="s">
        <v>52</v>
      </c>
      <c r="C7" s="135"/>
      <c r="D7" s="135"/>
      <c r="E7" s="135"/>
      <c r="F7" s="135"/>
      <c r="G7" s="135"/>
      <c r="H7" s="135"/>
      <c r="I7" s="135"/>
      <c r="J7" s="135"/>
      <c r="K7" s="135"/>
      <c r="L7" s="136"/>
      <c r="M7" s="137" t="s">
        <v>29</v>
      </c>
      <c r="N7" s="138"/>
      <c r="O7" s="139">
        <v>45311</v>
      </c>
      <c r="P7" s="140"/>
      <c r="Q7" s="141"/>
      <c r="R7" s="137" t="s">
        <v>28</v>
      </c>
      <c r="S7" s="142"/>
      <c r="T7" s="138"/>
      <c r="U7" s="143" t="s">
        <v>70</v>
      </c>
      <c r="V7" s="144"/>
      <c r="X7" t="s">
        <v>26</v>
      </c>
    </row>
    <row r="8" spans="1:24" x14ac:dyDescent="0.2">
      <c r="A8" s="47" t="s">
        <v>60</v>
      </c>
      <c r="B8" s="130" t="s">
        <v>61</v>
      </c>
      <c r="C8" s="49" t="s">
        <v>62</v>
      </c>
      <c r="D8" s="50"/>
      <c r="E8" s="51"/>
      <c r="F8" s="52" t="s">
        <v>0</v>
      </c>
      <c r="G8" s="52"/>
      <c r="H8" s="51"/>
      <c r="I8" s="48" t="s">
        <v>63</v>
      </c>
      <c r="J8" s="48" t="s">
        <v>64</v>
      </c>
      <c r="K8" s="48" t="s">
        <v>1</v>
      </c>
      <c r="L8" s="48" t="s">
        <v>2</v>
      </c>
      <c r="M8" s="48" t="s">
        <v>3</v>
      </c>
      <c r="N8" s="48" t="s">
        <v>4</v>
      </c>
      <c r="O8" s="48" t="s">
        <v>5</v>
      </c>
      <c r="P8" s="48" t="s">
        <v>6</v>
      </c>
      <c r="Q8" s="145" t="s">
        <v>7</v>
      </c>
      <c r="R8" s="53" t="s">
        <v>8</v>
      </c>
      <c r="S8" s="54"/>
      <c r="T8" s="61" t="s">
        <v>49</v>
      </c>
      <c r="U8" s="48" t="s">
        <v>9</v>
      </c>
      <c r="V8" s="147" t="s">
        <v>45</v>
      </c>
    </row>
    <row r="9" spans="1:24" x14ac:dyDescent="0.2">
      <c r="A9" s="47" t="s">
        <v>10</v>
      </c>
      <c r="B9" s="131"/>
      <c r="C9" s="55" t="s">
        <v>11</v>
      </c>
      <c r="D9" s="55" t="s">
        <v>12</v>
      </c>
      <c r="E9" s="55" t="s">
        <v>13</v>
      </c>
      <c r="F9" s="55" t="s">
        <v>11</v>
      </c>
      <c r="G9" s="55" t="s">
        <v>12</v>
      </c>
      <c r="H9" s="55" t="s">
        <v>13</v>
      </c>
      <c r="I9" s="48" t="s">
        <v>14</v>
      </c>
      <c r="J9" s="48" t="s">
        <v>48</v>
      </c>
      <c r="K9" s="48" t="s">
        <v>15</v>
      </c>
      <c r="L9" s="48" t="s">
        <v>15</v>
      </c>
      <c r="M9" s="48" t="s">
        <v>16</v>
      </c>
      <c r="N9" s="48" t="s">
        <v>15</v>
      </c>
      <c r="O9" s="48" t="s">
        <v>17</v>
      </c>
      <c r="P9" s="56" t="s">
        <v>43</v>
      </c>
      <c r="Q9" s="146"/>
      <c r="R9" s="57" t="s">
        <v>44</v>
      </c>
      <c r="S9" s="55" t="s">
        <v>18</v>
      </c>
      <c r="T9" s="58" t="s">
        <v>50</v>
      </c>
      <c r="U9" s="58" t="s">
        <v>19</v>
      </c>
      <c r="V9" s="148"/>
    </row>
    <row r="10" spans="1:24" ht="21" customHeight="1" x14ac:dyDescent="0.2">
      <c r="A10" s="72">
        <v>993</v>
      </c>
      <c r="B10" s="154" t="s">
        <v>69</v>
      </c>
      <c r="C10" s="151">
        <v>45304</v>
      </c>
      <c r="D10" s="152"/>
      <c r="E10" s="153"/>
      <c r="F10" s="151">
        <f>+C10+I10</f>
        <v>45311</v>
      </c>
      <c r="G10" s="152"/>
      <c r="H10" s="153"/>
      <c r="I10" s="38">
        <v>7</v>
      </c>
      <c r="J10" s="38">
        <v>21</v>
      </c>
      <c r="K10" s="39">
        <f t="shared" ref="K10:K24" si="0">+AVERAGE(M42:O42)/10</f>
        <v>4.99</v>
      </c>
      <c r="L10" s="39">
        <f t="shared" ref="L10:L24" si="1">+AVERAGE(M42:O42)/10</f>
        <v>4.99</v>
      </c>
      <c r="M10" s="39">
        <f>K10*L10</f>
        <v>24.900100000000002</v>
      </c>
      <c r="N10" s="39">
        <f t="shared" ref="N10:N24" si="2">+AVERAGE(R42:U42)/10</f>
        <v>4.63</v>
      </c>
      <c r="O10" s="40">
        <f>+W42</f>
        <v>235</v>
      </c>
      <c r="P10" s="41">
        <f>O10/(M10*N10)</f>
        <v>2.0383829592988789</v>
      </c>
      <c r="Q10" s="39">
        <f t="shared" ref="Q10:Q24" si="3">+X42</f>
        <v>65.88</v>
      </c>
      <c r="R10" s="42">
        <f>(Q10*101.96)/M10</f>
        <v>269.76296480737017</v>
      </c>
      <c r="S10" s="43">
        <f>R10*0.09807</f>
        <v>26.455653958658793</v>
      </c>
      <c r="T10" s="62">
        <f>IFERROR(IF(R10="-","-",+R10/J10*10),"")</f>
        <v>128.45855467017626</v>
      </c>
      <c r="U10" s="44" t="s">
        <v>24</v>
      </c>
      <c r="V10" s="45" t="s">
        <v>42</v>
      </c>
    </row>
    <row r="11" spans="1:24" ht="21" customHeight="1" x14ac:dyDescent="0.2">
      <c r="A11" s="77">
        <v>994</v>
      </c>
      <c r="B11" s="157"/>
      <c r="C11" s="151">
        <f>+C10</f>
        <v>45304</v>
      </c>
      <c r="D11" s="152"/>
      <c r="E11" s="153"/>
      <c r="F11" s="151">
        <f>+C11+I11</f>
        <v>45311</v>
      </c>
      <c r="G11" s="152"/>
      <c r="H11" s="153"/>
      <c r="I11" s="1">
        <v>7</v>
      </c>
      <c r="J11" s="1">
        <v>21</v>
      </c>
      <c r="K11" s="39">
        <f t="shared" si="0"/>
        <v>5.01</v>
      </c>
      <c r="L11" s="39">
        <f t="shared" si="1"/>
        <v>5.01</v>
      </c>
      <c r="M11" s="39">
        <f t="shared" ref="M11:M24" si="4">K11*L11</f>
        <v>25.100099999999998</v>
      </c>
      <c r="N11" s="39">
        <f t="shared" si="2"/>
        <v>4.83</v>
      </c>
      <c r="O11" s="40">
        <f>+W43</f>
        <v>235</v>
      </c>
      <c r="P11" s="3">
        <f t="shared" ref="P11:P24" si="5">O11/(M11*N11)</f>
        <v>1.9384083850828571</v>
      </c>
      <c r="Q11" s="2">
        <f t="shared" si="3"/>
        <v>65.78</v>
      </c>
      <c r="R11" s="4">
        <f t="shared" ref="R11:R24" si="6">(Q11*101.96)/M11</f>
        <v>267.20725415436596</v>
      </c>
      <c r="S11" s="5">
        <f t="shared" ref="S11:S24" si="7">R11*0.09807</f>
        <v>26.20501541491867</v>
      </c>
      <c r="T11" s="62">
        <f t="shared" ref="T11:T24" si="8">IFERROR(IF(R11="-","-",+R11/J11*10),"")</f>
        <v>127.24154959731712</v>
      </c>
      <c r="U11" s="6" t="s">
        <v>24</v>
      </c>
      <c r="V11" s="7" t="s">
        <v>42</v>
      </c>
    </row>
    <row r="12" spans="1:24" s="36" customFormat="1" ht="21" customHeight="1" x14ac:dyDescent="0.2">
      <c r="A12" s="72">
        <v>995</v>
      </c>
      <c r="B12" s="155"/>
      <c r="C12" s="151">
        <f>+C11</f>
        <v>45304</v>
      </c>
      <c r="D12" s="152"/>
      <c r="E12" s="153"/>
      <c r="F12" s="151">
        <f>+C12+I12</f>
        <v>45311</v>
      </c>
      <c r="G12" s="152"/>
      <c r="H12" s="153"/>
      <c r="I12" s="1">
        <v>7</v>
      </c>
      <c r="J12" s="1">
        <v>21</v>
      </c>
      <c r="K12" s="39">
        <f t="shared" si="0"/>
        <v>5.0233333333333325</v>
      </c>
      <c r="L12" s="39">
        <f t="shared" si="1"/>
        <v>5.0233333333333325</v>
      </c>
      <c r="M12" s="39">
        <f t="shared" si="4"/>
        <v>25.233877777777771</v>
      </c>
      <c r="N12" s="39">
        <f>+AVERAGE(Q44:S44)/10</f>
        <v>4.8100000000000005</v>
      </c>
      <c r="O12" s="40">
        <f>+W44</f>
        <v>235</v>
      </c>
      <c r="P12" s="3">
        <f t="shared" si="5"/>
        <v>1.936149064634624</v>
      </c>
      <c r="Q12" s="2">
        <f t="shared" si="3"/>
        <v>65.84</v>
      </c>
      <c r="R12" s="4">
        <f t="shared" si="6"/>
        <v>266.0330869126999</v>
      </c>
      <c r="S12" s="5">
        <f t="shared" si="7"/>
        <v>26.08986483352848</v>
      </c>
      <c r="T12" s="62">
        <f>IFERROR(IF(R12="-","-",+R12/J12*10),"")</f>
        <v>126.68242233938091</v>
      </c>
      <c r="U12" s="6" t="s">
        <v>24</v>
      </c>
      <c r="V12" s="7" t="s">
        <v>42</v>
      </c>
    </row>
    <row r="13" spans="1:24" s="65" customFormat="1" ht="21" customHeight="1" x14ac:dyDescent="0.2">
      <c r="A13" s="78">
        <v>981</v>
      </c>
      <c r="B13" s="149" t="s">
        <v>69</v>
      </c>
      <c r="C13" s="97">
        <v>45286</v>
      </c>
      <c r="D13" s="98"/>
      <c r="E13" s="99"/>
      <c r="F13" s="97">
        <f>+C13+I13</f>
        <v>45311</v>
      </c>
      <c r="G13" s="98"/>
      <c r="H13" s="99"/>
      <c r="I13" s="12">
        <v>25</v>
      </c>
      <c r="J13" s="79">
        <v>21</v>
      </c>
      <c r="K13" s="80" t="e">
        <f t="shared" si="0"/>
        <v>#DIV/0!</v>
      </c>
      <c r="L13" s="81" t="e">
        <f t="shared" si="1"/>
        <v>#DIV/0!</v>
      </c>
      <c r="M13" s="81" t="e">
        <f t="shared" si="4"/>
        <v>#DIV/0!</v>
      </c>
      <c r="N13" s="81" t="e">
        <f t="shared" si="2"/>
        <v>#DIV/0!</v>
      </c>
      <c r="O13" s="82">
        <f t="shared" ref="O13:O24" si="9">+W45</f>
        <v>245</v>
      </c>
      <c r="P13" s="83" t="e">
        <f t="shared" si="5"/>
        <v>#DIV/0!</v>
      </c>
      <c r="Q13" s="84">
        <f t="shared" si="3"/>
        <v>69.7</v>
      </c>
      <c r="R13" s="85" t="e">
        <f t="shared" si="6"/>
        <v>#DIV/0!</v>
      </c>
      <c r="S13" s="86" t="e">
        <f t="shared" si="7"/>
        <v>#DIV/0!</v>
      </c>
      <c r="T13" s="87" t="str">
        <f t="shared" si="8"/>
        <v/>
      </c>
      <c r="U13" s="88" t="s">
        <v>24</v>
      </c>
      <c r="V13" s="89" t="s">
        <v>42</v>
      </c>
    </row>
    <row r="14" spans="1:24" s="65" customFormat="1" ht="21" customHeight="1" x14ac:dyDescent="0.2">
      <c r="A14" s="90">
        <v>982</v>
      </c>
      <c r="B14" s="156"/>
      <c r="C14" s="97">
        <f>+C13</f>
        <v>45286</v>
      </c>
      <c r="D14" s="98"/>
      <c r="E14" s="99"/>
      <c r="F14" s="97">
        <f t="shared" ref="F14:F15" si="10">+C14+I14</f>
        <v>45311</v>
      </c>
      <c r="G14" s="98"/>
      <c r="H14" s="99"/>
      <c r="I14" s="12">
        <v>25</v>
      </c>
      <c r="J14" s="79">
        <v>21</v>
      </c>
      <c r="K14" s="80" t="e">
        <f t="shared" si="0"/>
        <v>#DIV/0!</v>
      </c>
      <c r="L14" s="81" t="e">
        <f t="shared" si="1"/>
        <v>#DIV/0!</v>
      </c>
      <c r="M14" s="81" t="e">
        <f t="shared" si="4"/>
        <v>#DIV/0!</v>
      </c>
      <c r="N14" s="81" t="e">
        <f t="shared" si="2"/>
        <v>#DIV/0!</v>
      </c>
      <c r="O14" s="82">
        <f t="shared" si="9"/>
        <v>242</v>
      </c>
      <c r="P14" s="83" t="e">
        <f t="shared" si="5"/>
        <v>#DIV/0!</v>
      </c>
      <c r="Q14" s="84">
        <f t="shared" si="3"/>
        <v>71.3</v>
      </c>
      <c r="R14" s="85" t="e">
        <f t="shared" si="6"/>
        <v>#DIV/0!</v>
      </c>
      <c r="S14" s="86" t="e">
        <f t="shared" si="7"/>
        <v>#DIV/0!</v>
      </c>
      <c r="T14" s="87" t="str">
        <f t="shared" si="8"/>
        <v/>
      </c>
      <c r="U14" s="88" t="s">
        <v>24</v>
      </c>
      <c r="V14" s="89" t="s">
        <v>42</v>
      </c>
    </row>
    <row r="15" spans="1:24" s="65" customFormat="1" ht="21" customHeight="1" x14ac:dyDescent="0.2">
      <c r="A15" s="78">
        <v>983</v>
      </c>
      <c r="B15" s="150"/>
      <c r="C15" s="97">
        <f>+C14</f>
        <v>45286</v>
      </c>
      <c r="D15" s="98"/>
      <c r="E15" s="99"/>
      <c r="F15" s="97">
        <f t="shared" si="10"/>
        <v>45311</v>
      </c>
      <c r="G15" s="98"/>
      <c r="H15" s="99"/>
      <c r="I15" s="12">
        <v>25</v>
      </c>
      <c r="J15" s="79">
        <v>21</v>
      </c>
      <c r="K15" s="80" t="e">
        <f t="shared" si="0"/>
        <v>#DIV/0!</v>
      </c>
      <c r="L15" s="81" t="e">
        <f t="shared" si="1"/>
        <v>#DIV/0!</v>
      </c>
      <c r="M15" s="81" t="e">
        <f t="shared" si="4"/>
        <v>#DIV/0!</v>
      </c>
      <c r="N15" s="81" t="e">
        <f t="shared" si="2"/>
        <v>#DIV/0!</v>
      </c>
      <c r="O15" s="82">
        <f t="shared" si="9"/>
        <v>245</v>
      </c>
      <c r="P15" s="83" t="e">
        <f t="shared" si="5"/>
        <v>#DIV/0!</v>
      </c>
      <c r="Q15" s="84">
        <f t="shared" si="3"/>
        <v>78.599999999999994</v>
      </c>
      <c r="R15" s="85" t="e">
        <f t="shared" si="6"/>
        <v>#DIV/0!</v>
      </c>
      <c r="S15" s="86" t="e">
        <f t="shared" si="7"/>
        <v>#DIV/0!</v>
      </c>
      <c r="T15" s="87" t="str">
        <f t="shared" si="8"/>
        <v/>
      </c>
      <c r="U15" s="88" t="s">
        <v>24</v>
      </c>
      <c r="V15" s="89" t="s">
        <v>42</v>
      </c>
    </row>
    <row r="16" spans="1:24" s="36" customFormat="1" ht="21" customHeight="1" x14ac:dyDescent="0.2">
      <c r="A16" s="78">
        <v>984</v>
      </c>
      <c r="B16" s="149" t="s">
        <v>66</v>
      </c>
      <c r="C16" s="97">
        <v>45287</v>
      </c>
      <c r="D16" s="98"/>
      <c r="E16" s="99"/>
      <c r="F16" s="97">
        <f>+C16+I16</f>
        <v>45311</v>
      </c>
      <c r="G16" s="98"/>
      <c r="H16" s="99"/>
      <c r="I16" s="12">
        <v>24</v>
      </c>
      <c r="J16" s="79">
        <v>21</v>
      </c>
      <c r="K16" s="80" t="e">
        <f t="shared" si="0"/>
        <v>#DIV/0!</v>
      </c>
      <c r="L16" s="81" t="e">
        <f t="shared" si="1"/>
        <v>#DIV/0!</v>
      </c>
      <c r="M16" s="81" t="e">
        <f t="shared" si="4"/>
        <v>#DIV/0!</v>
      </c>
      <c r="N16" s="81" t="e">
        <f t="shared" si="2"/>
        <v>#DIV/0!</v>
      </c>
      <c r="O16" s="82">
        <f t="shared" si="9"/>
        <v>226</v>
      </c>
      <c r="P16" s="83" t="e">
        <f t="shared" si="5"/>
        <v>#DIV/0!</v>
      </c>
      <c r="Q16" s="84">
        <f t="shared" si="3"/>
        <v>85.8</v>
      </c>
      <c r="R16" s="85" t="e">
        <f t="shared" si="6"/>
        <v>#DIV/0!</v>
      </c>
      <c r="S16" s="86" t="e">
        <f t="shared" si="7"/>
        <v>#DIV/0!</v>
      </c>
      <c r="T16" s="87" t="str">
        <f t="shared" si="8"/>
        <v/>
      </c>
      <c r="U16" s="88" t="s">
        <v>24</v>
      </c>
      <c r="V16" s="89" t="s">
        <v>42</v>
      </c>
    </row>
    <row r="17" spans="1:22" s="36" customFormat="1" ht="21" customHeight="1" x14ac:dyDescent="0.2">
      <c r="A17" s="90">
        <v>985</v>
      </c>
      <c r="B17" s="156"/>
      <c r="C17" s="97">
        <v>45287</v>
      </c>
      <c r="D17" s="98"/>
      <c r="E17" s="99"/>
      <c r="F17" s="97">
        <f t="shared" ref="F17:F18" si="11">+C17+I17</f>
        <v>45311</v>
      </c>
      <c r="G17" s="98"/>
      <c r="H17" s="99"/>
      <c r="I17" s="12">
        <v>24</v>
      </c>
      <c r="J17" s="79">
        <v>21</v>
      </c>
      <c r="K17" s="80" t="e">
        <f t="shared" si="0"/>
        <v>#DIV/0!</v>
      </c>
      <c r="L17" s="81" t="e">
        <f t="shared" si="1"/>
        <v>#DIV/0!</v>
      </c>
      <c r="M17" s="81" t="e">
        <f t="shared" si="4"/>
        <v>#DIV/0!</v>
      </c>
      <c r="N17" s="81" t="e">
        <f t="shared" si="2"/>
        <v>#DIV/0!</v>
      </c>
      <c r="O17" s="82">
        <f t="shared" si="9"/>
        <v>225</v>
      </c>
      <c r="P17" s="83" t="e">
        <f t="shared" si="5"/>
        <v>#DIV/0!</v>
      </c>
      <c r="Q17" s="84">
        <f t="shared" si="3"/>
        <v>87.2</v>
      </c>
      <c r="R17" s="85" t="e">
        <f t="shared" si="6"/>
        <v>#DIV/0!</v>
      </c>
      <c r="S17" s="86" t="e">
        <f t="shared" si="7"/>
        <v>#DIV/0!</v>
      </c>
      <c r="T17" s="87" t="str">
        <f t="shared" si="8"/>
        <v/>
      </c>
      <c r="U17" s="88" t="s">
        <v>24</v>
      </c>
      <c r="V17" s="89" t="s">
        <v>42</v>
      </c>
    </row>
    <row r="18" spans="1:22" s="36" customFormat="1" ht="21" customHeight="1" x14ac:dyDescent="0.2">
      <c r="A18" s="78">
        <v>986</v>
      </c>
      <c r="B18" s="150"/>
      <c r="C18" s="97">
        <v>45287</v>
      </c>
      <c r="D18" s="98"/>
      <c r="E18" s="99"/>
      <c r="F18" s="97">
        <f t="shared" si="11"/>
        <v>45311</v>
      </c>
      <c r="G18" s="98"/>
      <c r="H18" s="99"/>
      <c r="I18" s="12">
        <v>24</v>
      </c>
      <c r="J18" s="79">
        <v>21</v>
      </c>
      <c r="K18" s="80" t="e">
        <f t="shared" si="0"/>
        <v>#DIV/0!</v>
      </c>
      <c r="L18" s="81" t="e">
        <f t="shared" si="1"/>
        <v>#DIV/0!</v>
      </c>
      <c r="M18" s="81" t="e">
        <f t="shared" si="4"/>
        <v>#DIV/0!</v>
      </c>
      <c r="N18" s="81" t="e">
        <f t="shared" si="2"/>
        <v>#DIV/0!</v>
      </c>
      <c r="O18" s="82">
        <f t="shared" si="9"/>
        <v>225</v>
      </c>
      <c r="P18" s="83" t="e">
        <f t="shared" si="5"/>
        <v>#DIV/0!</v>
      </c>
      <c r="Q18" s="84">
        <f t="shared" si="3"/>
        <v>91.6</v>
      </c>
      <c r="R18" s="85" t="e">
        <f t="shared" si="6"/>
        <v>#DIV/0!</v>
      </c>
      <c r="S18" s="86" t="e">
        <f t="shared" si="7"/>
        <v>#DIV/0!</v>
      </c>
      <c r="T18" s="87" t="str">
        <f t="shared" si="8"/>
        <v/>
      </c>
      <c r="U18" s="88" t="s">
        <v>24</v>
      </c>
      <c r="V18" s="89" t="s">
        <v>42</v>
      </c>
    </row>
    <row r="19" spans="1:22" ht="21" customHeight="1" x14ac:dyDescent="0.2">
      <c r="A19" s="78">
        <v>987</v>
      </c>
      <c r="B19" s="149" t="s">
        <v>67</v>
      </c>
      <c r="C19" s="97">
        <v>45294</v>
      </c>
      <c r="D19" s="98"/>
      <c r="E19" s="99"/>
      <c r="F19" s="97">
        <f>+C19+I19</f>
        <v>45311</v>
      </c>
      <c r="G19" s="98"/>
      <c r="H19" s="99"/>
      <c r="I19" s="12">
        <v>17</v>
      </c>
      <c r="J19" s="79">
        <v>21</v>
      </c>
      <c r="K19" s="26" t="e">
        <f t="shared" si="0"/>
        <v>#DIV/0!</v>
      </c>
      <c r="L19" s="24" t="e">
        <f t="shared" si="1"/>
        <v>#DIV/0!</v>
      </c>
      <c r="M19" s="24" t="e">
        <f t="shared" si="4"/>
        <v>#DIV/0!</v>
      </c>
      <c r="N19" s="24" t="e">
        <f t="shared" si="2"/>
        <v>#DIV/0!</v>
      </c>
      <c r="O19" s="25">
        <f t="shared" si="9"/>
        <v>244</v>
      </c>
      <c r="P19" s="14" t="e">
        <f t="shared" si="5"/>
        <v>#DIV/0!</v>
      </c>
      <c r="Q19" s="13">
        <f t="shared" si="3"/>
        <v>88.6</v>
      </c>
      <c r="R19" s="15" t="e">
        <f t="shared" si="6"/>
        <v>#DIV/0!</v>
      </c>
      <c r="S19" s="16" t="e">
        <f t="shared" si="7"/>
        <v>#DIV/0!</v>
      </c>
      <c r="T19" s="63" t="str">
        <f t="shared" si="8"/>
        <v/>
      </c>
      <c r="U19" s="17" t="s">
        <v>24</v>
      </c>
      <c r="V19" s="18" t="s">
        <v>42</v>
      </c>
    </row>
    <row r="20" spans="1:22" ht="21" customHeight="1" x14ac:dyDescent="0.2">
      <c r="A20" s="78">
        <v>988</v>
      </c>
      <c r="B20" s="156"/>
      <c r="C20" s="97">
        <f>+C19</f>
        <v>45294</v>
      </c>
      <c r="D20" s="98"/>
      <c r="E20" s="99"/>
      <c r="F20" s="97">
        <f t="shared" ref="F20:F21" si="12">+C20+I20</f>
        <v>45311</v>
      </c>
      <c r="G20" s="98"/>
      <c r="H20" s="99"/>
      <c r="I20" s="12">
        <v>17</v>
      </c>
      <c r="J20" s="79">
        <v>21</v>
      </c>
      <c r="K20" s="26" t="e">
        <f t="shared" si="0"/>
        <v>#DIV/0!</v>
      </c>
      <c r="L20" s="24" t="e">
        <f t="shared" si="1"/>
        <v>#DIV/0!</v>
      </c>
      <c r="M20" s="24" t="e">
        <f t="shared" si="4"/>
        <v>#DIV/0!</v>
      </c>
      <c r="N20" s="24" t="e">
        <f t="shared" si="2"/>
        <v>#DIV/0!</v>
      </c>
      <c r="O20" s="25">
        <f t="shared" si="9"/>
        <v>242</v>
      </c>
      <c r="P20" s="14" t="e">
        <f t="shared" si="5"/>
        <v>#DIV/0!</v>
      </c>
      <c r="Q20" s="13">
        <f t="shared" si="3"/>
        <v>82.3</v>
      </c>
      <c r="R20" s="15" t="e">
        <f t="shared" si="6"/>
        <v>#DIV/0!</v>
      </c>
      <c r="S20" s="16" t="e">
        <f t="shared" si="7"/>
        <v>#DIV/0!</v>
      </c>
      <c r="T20" s="63" t="str">
        <f t="shared" si="8"/>
        <v/>
      </c>
      <c r="U20" s="17" t="s">
        <v>24</v>
      </c>
      <c r="V20" s="18" t="s">
        <v>42</v>
      </c>
    </row>
    <row r="21" spans="1:22" ht="21" customHeight="1" x14ac:dyDescent="0.2">
      <c r="A21" s="78">
        <v>989</v>
      </c>
      <c r="B21" s="150"/>
      <c r="C21" s="97">
        <f>+C20</f>
        <v>45294</v>
      </c>
      <c r="D21" s="98"/>
      <c r="E21" s="99"/>
      <c r="F21" s="97">
        <f t="shared" si="12"/>
        <v>45311</v>
      </c>
      <c r="G21" s="98"/>
      <c r="H21" s="99"/>
      <c r="I21" s="12">
        <v>17</v>
      </c>
      <c r="J21" s="79">
        <v>21</v>
      </c>
      <c r="K21" s="26" t="e">
        <f t="shared" si="0"/>
        <v>#DIV/0!</v>
      </c>
      <c r="L21" s="24" t="e">
        <f t="shared" si="1"/>
        <v>#DIV/0!</v>
      </c>
      <c r="M21" s="24" t="e">
        <f t="shared" si="4"/>
        <v>#DIV/0!</v>
      </c>
      <c r="N21" s="24" t="e">
        <f t="shared" si="2"/>
        <v>#DIV/0!</v>
      </c>
      <c r="O21" s="25">
        <f t="shared" si="9"/>
        <v>242</v>
      </c>
      <c r="P21" s="14" t="e">
        <f t="shared" si="5"/>
        <v>#DIV/0!</v>
      </c>
      <c r="Q21" s="13">
        <f t="shared" si="3"/>
        <v>86.6</v>
      </c>
      <c r="R21" s="15" t="e">
        <f t="shared" si="6"/>
        <v>#DIV/0!</v>
      </c>
      <c r="S21" s="16" t="e">
        <f t="shared" si="7"/>
        <v>#DIV/0!</v>
      </c>
      <c r="T21" s="63" t="str">
        <f t="shared" si="8"/>
        <v/>
      </c>
      <c r="U21" s="17" t="s">
        <v>24</v>
      </c>
      <c r="V21" s="18" t="s">
        <v>42</v>
      </c>
    </row>
    <row r="22" spans="1:22" ht="21" customHeight="1" x14ac:dyDescent="0.2">
      <c r="A22" s="11">
        <v>990</v>
      </c>
      <c r="B22" s="149" t="s">
        <v>68</v>
      </c>
      <c r="C22" s="97">
        <v>45302</v>
      </c>
      <c r="D22" s="98"/>
      <c r="E22" s="99"/>
      <c r="F22" s="97">
        <f>+C22+I22</f>
        <v>45311</v>
      </c>
      <c r="G22" s="98"/>
      <c r="H22" s="99"/>
      <c r="I22" s="12">
        <v>9</v>
      </c>
      <c r="J22" s="12">
        <v>21</v>
      </c>
      <c r="K22" s="26" t="e">
        <f t="shared" si="0"/>
        <v>#DIV/0!</v>
      </c>
      <c r="L22" s="24" t="e">
        <f t="shared" si="1"/>
        <v>#DIV/0!</v>
      </c>
      <c r="M22" s="24" t="e">
        <f t="shared" si="4"/>
        <v>#DIV/0!</v>
      </c>
      <c r="N22" s="24" t="e">
        <f t="shared" si="2"/>
        <v>#DIV/0!</v>
      </c>
      <c r="O22" s="25">
        <f t="shared" si="9"/>
        <v>227</v>
      </c>
      <c r="P22" s="14" t="e">
        <f t="shared" si="5"/>
        <v>#DIV/0!</v>
      </c>
      <c r="Q22" s="13">
        <f t="shared" si="3"/>
        <v>82.3</v>
      </c>
      <c r="R22" s="15" t="e">
        <f t="shared" si="6"/>
        <v>#DIV/0!</v>
      </c>
      <c r="S22" s="16" t="e">
        <f t="shared" si="7"/>
        <v>#DIV/0!</v>
      </c>
      <c r="T22" s="63" t="str">
        <f t="shared" si="8"/>
        <v/>
      </c>
      <c r="U22" s="17" t="s">
        <v>24</v>
      </c>
      <c r="V22" s="18" t="s">
        <v>42</v>
      </c>
    </row>
    <row r="23" spans="1:22" ht="21" customHeight="1" x14ac:dyDescent="0.2">
      <c r="A23" s="11">
        <v>991</v>
      </c>
      <c r="B23" s="156"/>
      <c r="C23" s="97">
        <f>+C22</f>
        <v>45302</v>
      </c>
      <c r="D23" s="98"/>
      <c r="E23" s="99"/>
      <c r="F23" s="97">
        <f t="shared" ref="F23:F24" si="13">+C23+I23</f>
        <v>45311</v>
      </c>
      <c r="G23" s="98"/>
      <c r="H23" s="99"/>
      <c r="I23" s="12">
        <v>9</v>
      </c>
      <c r="J23" s="12">
        <v>21</v>
      </c>
      <c r="K23" s="26" t="e">
        <f t="shared" si="0"/>
        <v>#DIV/0!</v>
      </c>
      <c r="L23" s="24" t="e">
        <f t="shared" si="1"/>
        <v>#DIV/0!</v>
      </c>
      <c r="M23" s="24" t="e">
        <f t="shared" si="4"/>
        <v>#DIV/0!</v>
      </c>
      <c r="N23" s="24" t="e">
        <f t="shared" si="2"/>
        <v>#DIV/0!</v>
      </c>
      <c r="O23" s="25">
        <f t="shared" si="9"/>
        <v>231</v>
      </c>
      <c r="P23" s="14" t="e">
        <f t="shared" si="5"/>
        <v>#DIV/0!</v>
      </c>
      <c r="Q23" s="13">
        <f t="shared" si="3"/>
        <v>82.3</v>
      </c>
      <c r="R23" s="15" t="e">
        <f t="shared" si="6"/>
        <v>#DIV/0!</v>
      </c>
      <c r="S23" s="16" t="e">
        <f t="shared" si="7"/>
        <v>#DIV/0!</v>
      </c>
      <c r="T23" s="63" t="str">
        <f t="shared" si="8"/>
        <v/>
      </c>
      <c r="U23" s="17" t="s">
        <v>24</v>
      </c>
      <c r="V23" s="18" t="s">
        <v>42</v>
      </c>
    </row>
    <row r="24" spans="1:22" ht="21" customHeight="1" x14ac:dyDescent="0.2">
      <c r="A24" s="11">
        <v>992</v>
      </c>
      <c r="B24" s="150"/>
      <c r="C24" s="97">
        <f>+C23</f>
        <v>45302</v>
      </c>
      <c r="D24" s="98"/>
      <c r="E24" s="99"/>
      <c r="F24" s="97">
        <f t="shared" si="13"/>
        <v>45311</v>
      </c>
      <c r="G24" s="98"/>
      <c r="H24" s="99"/>
      <c r="I24" s="12">
        <v>9</v>
      </c>
      <c r="J24" s="12">
        <v>2</v>
      </c>
      <c r="K24" s="26" t="e">
        <f t="shared" si="0"/>
        <v>#DIV/0!</v>
      </c>
      <c r="L24" s="24" t="e">
        <f t="shared" si="1"/>
        <v>#DIV/0!</v>
      </c>
      <c r="M24" s="24" t="e">
        <f t="shared" si="4"/>
        <v>#DIV/0!</v>
      </c>
      <c r="N24" s="24" t="e">
        <f t="shared" si="2"/>
        <v>#DIV/0!</v>
      </c>
      <c r="O24" s="25">
        <f t="shared" si="9"/>
        <v>230</v>
      </c>
      <c r="P24" s="14" t="e">
        <f t="shared" si="5"/>
        <v>#DIV/0!</v>
      </c>
      <c r="Q24" s="13">
        <f t="shared" si="3"/>
        <v>81.599999999999994</v>
      </c>
      <c r="R24" s="15" t="e">
        <f t="shared" si="6"/>
        <v>#DIV/0!</v>
      </c>
      <c r="S24" s="16" t="e">
        <f t="shared" si="7"/>
        <v>#DIV/0!</v>
      </c>
      <c r="T24" s="63" t="str">
        <f t="shared" si="8"/>
        <v/>
      </c>
      <c r="U24" s="17" t="s">
        <v>24</v>
      </c>
      <c r="V24" s="18" t="s">
        <v>42</v>
      </c>
    </row>
    <row r="25" spans="1:22" x14ac:dyDescent="0.2">
      <c r="A25" s="8"/>
      <c r="C25" s="23" t="s">
        <v>25</v>
      </c>
      <c r="U25" s="103" t="s">
        <v>31</v>
      </c>
      <c r="V25" s="104"/>
    </row>
    <row r="26" spans="1:22" x14ac:dyDescent="0.2">
      <c r="A26" s="8" t="s">
        <v>20</v>
      </c>
      <c r="C26" s="8"/>
    </row>
    <row r="27" spans="1:22" x14ac:dyDescent="0.2">
      <c r="A27" s="8"/>
      <c r="C27" s="8"/>
    </row>
    <row r="28" spans="1:22" x14ac:dyDescent="0.2">
      <c r="A28" s="8"/>
      <c r="B28" s="75" t="s">
        <v>55</v>
      </c>
      <c r="C28" s="73"/>
      <c r="D28" s="74" t="s">
        <v>65</v>
      </c>
    </row>
    <row r="29" spans="1:22" x14ac:dyDescent="0.2">
      <c r="A29" s="8"/>
      <c r="B29" s="75" t="s">
        <v>57</v>
      </c>
      <c r="C29" s="73"/>
    </row>
    <row r="30" spans="1:22" ht="12" customHeight="1" x14ac:dyDescent="0.2">
      <c r="B30" s="75" t="s">
        <v>56</v>
      </c>
      <c r="C30" s="73"/>
    </row>
    <row r="31" spans="1:22" x14ac:dyDescent="0.2">
      <c r="A31" s="103" t="s">
        <v>21</v>
      </c>
      <c r="B31" s="105"/>
      <c r="C31" s="105"/>
      <c r="D31" s="105"/>
      <c r="E31" s="105"/>
      <c r="F31" s="105"/>
      <c r="G31" s="105"/>
      <c r="H31" s="105"/>
      <c r="I31" s="105"/>
      <c r="J31" s="105"/>
      <c r="K31" s="104"/>
      <c r="L31" s="103" t="s">
        <v>22</v>
      </c>
      <c r="M31" s="105"/>
      <c r="N31" s="105"/>
      <c r="O31" s="105"/>
      <c r="P31" s="105"/>
      <c r="Q31" s="105"/>
      <c r="R31" s="105"/>
      <c r="S31" s="105"/>
      <c r="T31" s="105"/>
      <c r="U31" s="105"/>
      <c r="V31" s="104"/>
    </row>
    <row r="32" spans="1:22" ht="4.5" customHeight="1" x14ac:dyDescent="0.2">
      <c r="A32" s="10"/>
      <c r="B32" s="8"/>
      <c r="C32" s="8"/>
      <c r="D32" s="8"/>
      <c r="E32" s="9"/>
      <c r="F32" s="8"/>
      <c r="G32" s="8"/>
      <c r="H32" s="8"/>
      <c r="I32" s="8"/>
      <c r="J32" s="8"/>
      <c r="K32" s="8"/>
      <c r="L32" s="10"/>
      <c r="M32" s="8"/>
      <c r="N32" s="8"/>
      <c r="O32" s="8"/>
      <c r="P32" s="8"/>
      <c r="Q32" s="8"/>
      <c r="R32" s="9"/>
      <c r="S32" s="8"/>
      <c r="T32" s="8"/>
      <c r="U32" s="8"/>
      <c r="V32" s="19"/>
    </row>
    <row r="33" spans="1:26" x14ac:dyDescent="0.2">
      <c r="A33" s="10"/>
      <c r="B33" s="35" t="s">
        <v>34</v>
      </c>
      <c r="C33" s="8"/>
      <c r="D33" s="8"/>
      <c r="E33" s="8"/>
      <c r="F33" s="8"/>
      <c r="G33" s="8"/>
      <c r="H33" s="8"/>
      <c r="I33" s="8"/>
      <c r="J33" s="8"/>
      <c r="K33" s="8"/>
      <c r="L33" s="10"/>
      <c r="M33" s="8"/>
      <c r="N33" s="8"/>
      <c r="O33" s="8"/>
      <c r="P33" s="8"/>
      <c r="Q33" s="8"/>
      <c r="R33" s="8"/>
      <c r="S33" s="8"/>
      <c r="T33" s="8"/>
      <c r="U33" s="8"/>
      <c r="V33" s="19"/>
    </row>
    <row r="34" spans="1:26" ht="12.75" customHeight="1" x14ac:dyDescent="0.2">
      <c r="A34" s="10"/>
      <c r="B34" s="106" t="s">
        <v>35</v>
      </c>
      <c r="C34" s="106"/>
      <c r="D34" s="106"/>
      <c r="E34" s="106"/>
      <c r="F34" s="106"/>
      <c r="G34" s="106"/>
      <c r="H34" s="106"/>
      <c r="I34" s="106"/>
      <c r="J34" s="59"/>
      <c r="K34" s="37"/>
      <c r="L34" s="10"/>
      <c r="M34" s="36" t="s">
        <v>23</v>
      </c>
      <c r="N34" s="8"/>
      <c r="O34" s="8"/>
      <c r="P34" s="8"/>
      <c r="Q34" s="8"/>
      <c r="R34" s="8"/>
      <c r="S34" s="8"/>
      <c r="T34" s="8"/>
      <c r="U34" s="8"/>
      <c r="V34" s="19"/>
    </row>
    <row r="35" spans="1:26" x14ac:dyDescent="0.2">
      <c r="A35" s="10" t="s">
        <v>23</v>
      </c>
      <c r="B35" s="101" t="s">
        <v>36</v>
      </c>
      <c r="C35" s="101"/>
      <c r="D35" s="101"/>
      <c r="E35" s="101"/>
      <c r="F35" s="101"/>
      <c r="G35" s="101"/>
      <c r="H35" s="101"/>
      <c r="I35" s="101"/>
      <c r="J35" s="60"/>
      <c r="K35" s="8"/>
      <c r="L35" s="10"/>
      <c r="M35" s="8"/>
      <c r="N35" s="8"/>
      <c r="O35" s="8"/>
      <c r="P35" s="8"/>
      <c r="Q35" s="8"/>
      <c r="R35" s="8"/>
      <c r="S35" s="8"/>
      <c r="T35" s="8"/>
      <c r="U35" s="8"/>
      <c r="V35" s="19"/>
    </row>
    <row r="36" spans="1:26" x14ac:dyDescent="0.2">
      <c r="A36" s="20"/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0"/>
      <c r="M36" s="21"/>
      <c r="N36" s="21"/>
      <c r="O36" s="21"/>
      <c r="P36" s="21"/>
      <c r="Q36" s="21"/>
      <c r="R36" s="21"/>
      <c r="S36" s="21"/>
      <c r="T36" s="21"/>
      <c r="U36" s="21"/>
      <c r="V36" s="22"/>
    </row>
    <row r="37" spans="1:26" x14ac:dyDescent="0.2">
      <c r="A37" s="34" t="s">
        <v>32</v>
      </c>
      <c r="B37" s="32"/>
      <c r="C37" s="32"/>
      <c r="D37" s="32"/>
      <c r="E37" s="32"/>
      <c r="F37" s="32"/>
      <c r="G37" s="32"/>
      <c r="H37" s="32"/>
      <c r="I37" s="32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2"/>
      <c r="V37" s="33"/>
    </row>
    <row r="38" spans="1:26" x14ac:dyDescent="0.2">
      <c r="A38" s="102" t="s">
        <v>33</v>
      </c>
      <c r="B38" s="102"/>
      <c r="C38" s="102"/>
      <c r="D38" s="102"/>
      <c r="E38" s="102"/>
      <c r="F38" s="102"/>
      <c r="G38" s="102"/>
      <c r="H38" s="102"/>
      <c r="I38" s="102"/>
      <c r="J38" s="102"/>
      <c r="K38" s="102"/>
      <c r="L38" s="102"/>
      <c r="M38" s="102"/>
      <c r="N38" s="102"/>
      <c r="O38" s="102"/>
      <c r="P38" s="102"/>
      <c r="Q38" s="102"/>
      <c r="R38" s="102"/>
      <c r="S38" s="102"/>
      <c r="T38" s="102"/>
      <c r="U38" s="102"/>
      <c r="V38" s="102"/>
    </row>
    <row r="39" spans="1:26" x14ac:dyDescent="0.2">
      <c r="A39" s="34" t="s">
        <v>58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6"/>
      <c r="O39" s="76"/>
      <c r="P39" s="76"/>
      <c r="Q39" s="76"/>
      <c r="R39" s="76"/>
      <c r="S39" s="76"/>
      <c r="T39" s="76"/>
      <c r="U39" s="76"/>
      <c r="V39" s="76"/>
    </row>
    <row r="40" spans="1:26" x14ac:dyDescent="0.2">
      <c r="A40" s="100" t="s">
        <v>47</v>
      </c>
      <c r="B40" s="100"/>
      <c r="C40" s="100"/>
      <c r="D40" s="100"/>
      <c r="E40" s="100"/>
      <c r="F40" s="100"/>
      <c r="G40" s="100"/>
      <c r="H40" s="100"/>
      <c r="I40" s="100"/>
      <c r="J40" s="100"/>
      <c r="K40" s="100"/>
      <c r="L40" s="100"/>
      <c r="M40" s="100"/>
      <c r="N40" s="100"/>
      <c r="O40" s="100"/>
      <c r="P40" s="100"/>
      <c r="Q40" s="100"/>
      <c r="R40" s="100"/>
      <c r="S40" s="100"/>
      <c r="T40" s="100"/>
      <c r="U40" s="100"/>
      <c r="V40" s="100"/>
    </row>
    <row r="41" spans="1:26" ht="13.5" thickBot="1" x14ac:dyDescent="0.25">
      <c r="W41" s="36" t="s">
        <v>38</v>
      </c>
      <c r="X41" s="36" t="s">
        <v>39</v>
      </c>
      <c r="Y41" s="36" t="s">
        <v>40</v>
      </c>
      <c r="Z41" s="36" t="s">
        <v>41</v>
      </c>
    </row>
    <row r="42" spans="1:26" x14ac:dyDescent="0.2">
      <c r="M42" s="66">
        <v>49.9</v>
      </c>
      <c r="N42" s="66">
        <v>49.9</v>
      </c>
      <c r="O42" s="66">
        <v>49.9</v>
      </c>
      <c r="P42" s="70"/>
      <c r="Q42" s="66">
        <v>46.3</v>
      </c>
      <c r="R42" s="66">
        <v>46.3</v>
      </c>
      <c r="S42" s="66">
        <v>46.3</v>
      </c>
      <c r="W42" s="64">
        <v>235</v>
      </c>
      <c r="X42" s="68">
        <v>65.88</v>
      </c>
    </row>
    <row r="43" spans="1:26" ht="13.5" thickBot="1" x14ac:dyDescent="0.25">
      <c r="M43" s="67">
        <v>50.1</v>
      </c>
      <c r="N43" s="67">
        <v>50.1</v>
      </c>
      <c r="O43" s="67">
        <v>50.1</v>
      </c>
      <c r="Q43" s="67">
        <v>48.3</v>
      </c>
      <c r="R43" s="67">
        <v>48.3</v>
      </c>
      <c r="S43" s="67">
        <v>48.3</v>
      </c>
      <c r="T43" s="69"/>
      <c r="W43" s="64">
        <v>235</v>
      </c>
      <c r="X43" s="64">
        <v>65.78</v>
      </c>
    </row>
    <row r="44" spans="1:26" ht="13.5" thickBot="1" x14ac:dyDescent="0.25">
      <c r="M44" s="67">
        <v>50.3</v>
      </c>
      <c r="N44" s="67">
        <v>50.2</v>
      </c>
      <c r="O44" s="67">
        <v>50.2</v>
      </c>
      <c r="P44" s="70"/>
      <c r="Q44" s="66">
        <v>48.1</v>
      </c>
      <c r="R44" s="66">
        <v>48.1</v>
      </c>
      <c r="S44" s="66">
        <v>48.1</v>
      </c>
      <c r="W44" s="64">
        <v>235</v>
      </c>
      <c r="X44" s="64">
        <v>65.84</v>
      </c>
    </row>
    <row r="45" spans="1:26" x14ac:dyDescent="0.2">
      <c r="M45" s="67"/>
      <c r="N45" s="67"/>
      <c r="O45" s="67"/>
      <c r="Q45" s="67"/>
      <c r="R45" s="67"/>
      <c r="S45" s="67"/>
      <c r="W45" s="68">
        <v>245</v>
      </c>
      <c r="X45" s="68">
        <v>69.7</v>
      </c>
    </row>
    <row r="46" spans="1:26" x14ac:dyDescent="0.2">
      <c r="M46" s="67"/>
      <c r="N46" s="67"/>
      <c r="O46" s="67"/>
      <c r="Q46" s="67"/>
      <c r="R46" s="67"/>
      <c r="S46" s="67"/>
      <c r="T46" s="71"/>
      <c r="W46" s="64">
        <v>242</v>
      </c>
      <c r="X46" s="64">
        <v>71.3</v>
      </c>
    </row>
    <row r="47" spans="1:26" ht="13.5" thickBot="1" x14ac:dyDescent="0.25">
      <c r="M47" s="67"/>
      <c r="N47" s="67"/>
      <c r="O47" s="67"/>
      <c r="Q47" s="67"/>
      <c r="R47" s="67"/>
      <c r="S47" s="67"/>
      <c r="W47" s="64">
        <v>245</v>
      </c>
      <c r="X47" s="64">
        <v>78.599999999999994</v>
      </c>
    </row>
    <row r="48" spans="1:26" x14ac:dyDescent="0.2">
      <c r="M48" s="46"/>
      <c r="N48" s="46"/>
      <c r="O48" s="46"/>
      <c r="Q48" s="46"/>
      <c r="R48" s="46"/>
      <c r="S48" s="46"/>
      <c r="W48" s="46">
        <v>226</v>
      </c>
      <c r="X48" s="68">
        <v>85.8</v>
      </c>
    </row>
    <row r="49" spans="13:24" x14ac:dyDescent="0.2">
      <c r="M49" s="46"/>
      <c r="N49" s="46"/>
      <c r="O49" s="46"/>
      <c r="Q49" s="46"/>
      <c r="R49" s="46"/>
      <c r="S49" s="46"/>
      <c r="W49" s="46">
        <v>225</v>
      </c>
      <c r="X49" s="64">
        <v>87.2</v>
      </c>
    </row>
    <row r="50" spans="13:24" ht="13.5" thickBot="1" x14ac:dyDescent="0.25">
      <c r="M50" s="46"/>
      <c r="N50" s="46"/>
      <c r="O50" s="46"/>
      <c r="Q50" s="46"/>
      <c r="R50" s="46"/>
      <c r="S50" s="46"/>
      <c r="W50" s="46">
        <v>225</v>
      </c>
      <c r="X50" s="64">
        <v>91.6</v>
      </c>
    </row>
    <row r="51" spans="13:24" x14ac:dyDescent="0.2">
      <c r="M51" s="46"/>
      <c r="N51" s="46"/>
      <c r="O51" s="46"/>
      <c r="Q51" s="46"/>
      <c r="R51" s="46"/>
      <c r="S51" s="46"/>
      <c r="W51" s="46">
        <v>244</v>
      </c>
      <c r="X51" s="68">
        <v>88.6</v>
      </c>
    </row>
    <row r="52" spans="13:24" x14ac:dyDescent="0.2">
      <c r="M52" s="46"/>
      <c r="N52" s="46"/>
      <c r="O52" s="46"/>
      <c r="Q52" s="46"/>
      <c r="R52" s="46"/>
      <c r="S52" s="46"/>
      <c r="W52" s="46">
        <v>242</v>
      </c>
      <c r="X52" s="64">
        <v>82.3</v>
      </c>
    </row>
    <row r="53" spans="13:24" ht="13.5" thickBot="1" x14ac:dyDescent="0.25">
      <c r="M53" s="46"/>
      <c r="N53" s="46"/>
      <c r="O53" s="46"/>
      <c r="Q53" s="46"/>
      <c r="R53" s="46"/>
      <c r="S53" s="46"/>
      <c r="W53" s="46">
        <v>242</v>
      </c>
      <c r="X53" s="64">
        <v>86.6</v>
      </c>
    </row>
    <row r="54" spans="13:24" x14ac:dyDescent="0.2">
      <c r="M54" s="46"/>
      <c r="N54" s="46"/>
      <c r="O54" s="46"/>
      <c r="Q54" s="46"/>
      <c r="R54" s="46"/>
      <c r="S54" s="46"/>
      <c r="W54" s="46">
        <v>227</v>
      </c>
      <c r="X54" s="68">
        <v>82.3</v>
      </c>
    </row>
    <row r="55" spans="13:24" x14ac:dyDescent="0.2">
      <c r="M55" s="46"/>
      <c r="N55" s="46"/>
      <c r="O55" s="46"/>
      <c r="Q55" s="46"/>
      <c r="R55" s="46"/>
      <c r="S55" s="46"/>
      <c r="W55" s="46">
        <v>231</v>
      </c>
      <c r="X55" s="64">
        <v>82.3</v>
      </c>
    </row>
    <row r="56" spans="13:24" ht="13.5" thickBot="1" x14ac:dyDescent="0.25">
      <c r="M56" s="46"/>
      <c r="N56" s="46"/>
      <c r="O56" s="46"/>
      <c r="Q56" s="46"/>
      <c r="R56" s="46"/>
      <c r="S56" s="46"/>
      <c r="W56" s="46">
        <v>230</v>
      </c>
      <c r="X56" s="64">
        <v>81.599999999999994</v>
      </c>
    </row>
    <row r="57" spans="13:24" x14ac:dyDescent="0.2">
      <c r="M57" s="46"/>
      <c r="N57" s="46"/>
      <c r="O57" s="46"/>
      <c r="Q57" s="46"/>
      <c r="R57" s="46"/>
      <c r="S57" s="46"/>
      <c r="W57" s="46"/>
      <c r="X57" s="68"/>
    </row>
    <row r="58" spans="13:24" x14ac:dyDescent="0.2">
      <c r="M58" s="46"/>
      <c r="N58" s="46"/>
      <c r="O58" s="46"/>
      <c r="Q58" s="46"/>
      <c r="R58" s="46"/>
      <c r="S58" s="46"/>
      <c r="W58" s="46"/>
      <c r="X58" s="64"/>
    </row>
    <row r="59" spans="13:24" ht="13.5" thickBot="1" x14ac:dyDescent="0.25">
      <c r="M59" s="46"/>
      <c r="N59" s="46"/>
      <c r="O59" s="46"/>
      <c r="Q59" s="46"/>
      <c r="R59" s="46"/>
      <c r="S59" s="46"/>
      <c r="W59" s="46"/>
      <c r="X59" s="64"/>
    </row>
    <row r="60" spans="13:24" x14ac:dyDescent="0.2">
      <c r="M60" s="46"/>
      <c r="N60" s="46"/>
      <c r="O60" s="46"/>
      <c r="Q60" s="46"/>
      <c r="R60" s="46"/>
      <c r="S60" s="46"/>
      <c r="W60" s="46"/>
      <c r="X60" s="68"/>
    </row>
    <row r="61" spans="13:24" x14ac:dyDescent="0.2">
      <c r="M61" s="46"/>
      <c r="N61" s="46"/>
      <c r="O61" s="46"/>
      <c r="Q61" s="46"/>
      <c r="R61" s="46"/>
      <c r="S61" s="46"/>
      <c r="W61" s="46"/>
      <c r="X61" s="64"/>
    </row>
    <row r="62" spans="13:24" x14ac:dyDescent="0.2">
      <c r="M62" s="46"/>
      <c r="N62" s="46"/>
      <c r="O62" s="46"/>
      <c r="Q62" s="46"/>
      <c r="R62" s="46"/>
      <c r="S62" s="46"/>
      <c r="W62" s="46"/>
      <c r="X62" s="64"/>
    </row>
    <row r="63" spans="13:24" x14ac:dyDescent="0.2">
      <c r="M63" s="46"/>
      <c r="N63" s="46"/>
      <c r="O63" s="46"/>
      <c r="Q63" s="46"/>
      <c r="R63" s="46"/>
      <c r="S63" s="46"/>
      <c r="W63" s="46"/>
      <c r="X63" s="46"/>
    </row>
  </sheetData>
  <dataConsolidate/>
  <mergeCells count="57">
    <mergeCell ref="A4:V4"/>
    <mergeCell ref="A1:C3"/>
    <mergeCell ref="D1:T3"/>
    <mergeCell ref="U1:V1"/>
    <mergeCell ref="U2:V2"/>
    <mergeCell ref="U3:V3"/>
    <mergeCell ref="B6:V6"/>
    <mergeCell ref="B7:L7"/>
    <mergeCell ref="M7:N7"/>
    <mergeCell ref="O7:Q7"/>
    <mergeCell ref="R7:T7"/>
    <mergeCell ref="U7:V7"/>
    <mergeCell ref="B8:B9"/>
    <mergeCell ref="Q8:Q9"/>
    <mergeCell ref="V8:V9"/>
    <mergeCell ref="B10:B12"/>
    <mergeCell ref="C10:E10"/>
    <mergeCell ref="F10:H10"/>
    <mergeCell ref="C11:E11"/>
    <mergeCell ref="F11:H11"/>
    <mergeCell ref="C12:E12"/>
    <mergeCell ref="F12:H12"/>
    <mergeCell ref="B13:B15"/>
    <mergeCell ref="C13:E13"/>
    <mergeCell ref="F13:H13"/>
    <mergeCell ref="C14:E14"/>
    <mergeCell ref="F14:H14"/>
    <mergeCell ref="C15:E15"/>
    <mergeCell ref="F15:H15"/>
    <mergeCell ref="B16:B18"/>
    <mergeCell ref="C16:E16"/>
    <mergeCell ref="F16:H16"/>
    <mergeCell ref="C17:E17"/>
    <mergeCell ref="F17:H17"/>
    <mergeCell ref="C18:E18"/>
    <mergeCell ref="F18:H18"/>
    <mergeCell ref="B19:B21"/>
    <mergeCell ref="C19:E19"/>
    <mergeCell ref="F19:H19"/>
    <mergeCell ref="C20:E20"/>
    <mergeCell ref="F20:H20"/>
    <mergeCell ref="C21:E21"/>
    <mergeCell ref="F21:H21"/>
    <mergeCell ref="B22:B24"/>
    <mergeCell ref="C22:E22"/>
    <mergeCell ref="F22:H22"/>
    <mergeCell ref="C23:E23"/>
    <mergeCell ref="F23:H23"/>
    <mergeCell ref="C24:E24"/>
    <mergeCell ref="F24:H24"/>
    <mergeCell ref="A40:V40"/>
    <mergeCell ref="U25:V25"/>
    <mergeCell ref="A31:K31"/>
    <mergeCell ref="L31:V31"/>
    <mergeCell ref="B34:I34"/>
    <mergeCell ref="B35:I35"/>
    <mergeCell ref="A38:V38"/>
  </mergeCells>
  <dataValidations count="1">
    <dataValidation type="list" allowBlank="1" showInputMessage="1" showErrorMessage="1" sqref="A4:V4" xr:uid="{00000000-0002-0000-0100-000000000000}">
      <formula1>$X$4:$X$8</formula1>
    </dataValidation>
  </dataValidations>
  <printOptions horizontalCentered="1" verticalCentered="1"/>
  <pageMargins left="1.2649999999999999" right="0.7" top="0.75" bottom="0.75" header="0.3" footer="0.3"/>
  <pageSetup paperSize="9" scale="70" orientation="landscape" r:id="rId1"/>
  <headerFooter alignWithMargins="0"/>
  <colBreaks count="2" manualBreakCount="2">
    <brk id="22" max="35" man="1"/>
    <brk id="23" max="1048575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CUBOS </vt:lpstr>
      <vt:lpstr>CUBOS  (2)</vt:lpstr>
      <vt:lpstr>'CUBOS '!Área_de_impresión</vt:lpstr>
      <vt:lpstr>'CUBOS  (2)'!Área_de_impresión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Usuario2</cp:lastModifiedBy>
  <cp:lastPrinted>2025-12-17T16:21:08Z</cp:lastPrinted>
  <dcterms:created xsi:type="dcterms:W3CDTF">2010-03-03T03:05:16Z</dcterms:created>
  <dcterms:modified xsi:type="dcterms:W3CDTF">2026-03-17T13:37:30Z</dcterms:modified>
</cp:coreProperties>
</file>